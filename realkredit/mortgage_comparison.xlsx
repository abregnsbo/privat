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nske" sheetId="2" state="visible" r:id="rId2"/>
    <sheet name="Jyske_afdrag" sheetId="3" state="visible" r:id="rId3"/>
    <sheet name="Jyske_AF10" sheetId="4" state="visible" r:id="rId4"/>
    <sheet name="Jyske_AF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000%"/>
    <numFmt numFmtId="167" formatCode="#,##0;[Red]-#,##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b val="1"/>
      <sz val="12"/>
    </font>
    <font>
      <i val="1"/>
      <color rgb="00808080"/>
      <sz val="9"/>
    </font>
    <font>
      <b val="1"/>
      <color rgb="00FFFFFF"/>
    </font>
    <font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2" borderId="1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3" fontId="2" fillId="2" borderId="1" pivotButton="0" quotePrefix="0" xfId="0"/>
    <xf numFmtId="167" fontId="2" fillId="4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2" borderId="1" pivotButton="0" quotePrefix="0" xfId="0"/>
    <xf numFmtId="165" fontId="0" fillId="0" borderId="1" pivotButton="0" quotePrefix="0" xfId="0"/>
    <xf numFmtId="0" fontId="2" fillId="4" borderId="0" pivotButton="0" quotePrefix="0" xfId="0"/>
    <xf numFmtId="3" fontId="2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2" customWidth="1" min="1" max="1"/>
    <col width="28" customWidth="1" min="2" max="2"/>
    <col width="13" customWidth="1" min="3" max="3"/>
    <col width="9" customWidth="1" min="4" max="4"/>
    <col width="13" customWidth="1" min="5" max="5"/>
    <col width="20" customWidth="1" min="6" max="6"/>
    <col width="20" customWidth="1" min="7" max="7"/>
    <col width="26" customWidth="1" min="8" max="8"/>
  </cols>
  <sheetData>
    <row r="1">
      <c r="A1" s="1" t="inlineStr">
        <is>
          <t>Sammenligning af realkreditlån – Jyske vs. Danske</t>
        </is>
      </c>
    </row>
    <row r="2">
      <c r="A2" s="2" t="inlineStr">
        <is>
          <t>Diskonteringsrente (p.a.)</t>
        </is>
      </c>
      <c r="B2" s="3" t="n">
        <v>0.025</v>
      </c>
      <c r="C2" s="4" t="inlineStr">
        <is>
          <t>← ændr her; alle nutidsværdier opdateres</t>
        </is>
      </c>
    </row>
    <row r="4">
      <c r="A4" s="5" t="inlineStr">
        <is>
          <t>Lån</t>
        </is>
      </c>
      <c r="B4" s="5" t="inlineStr">
        <is>
          <t>Type</t>
        </is>
      </c>
      <c r="C4" s="5" t="inlineStr">
        <is>
          <t>Hovedstol</t>
        </is>
      </c>
      <c r="D4" s="5" t="inlineStr">
        <is>
          <t>Rente</t>
        </is>
      </c>
      <c r="E4" s="5" t="inlineStr">
        <is>
          <t>Bidragssats</t>
        </is>
      </c>
      <c r="F4" s="5" t="inlineStr">
        <is>
          <t>Bidrag nominelt (sum)</t>
        </is>
      </c>
      <c r="G4" s="5" t="inlineStr">
        <is>
          <t>NV af bidrag @ rente</t>
        </is>
      </c>
      <c r="H4" s="5" t="inlineStr">
        <is>
          <t>Samlet tilbagebetaling (før skat)</t>
        </is>
      </c>
    </row>
    <row r="5">
      <c r="A5" s="6" t="inlineStr">
        <is>
          <t>Danske / Realkredit Danmark – Obligationslån 4% (med afdrag)</t>
        </is>
      </c>
      <c r="B5" s="6" t="inlineStr">
        <is>
          <t>30 år, med afdrag</t>
        </is>
      </c>
      <c r="C5" s="7" t="n">
        <v>2834000</v>
      </c>
      <c r="D5" s="8" t="n">
        <v>0.04</v>
      </c>
      <c r="E5" s="9" t="n">
        <v>0.00206</v>
      </c>
      <c r="F5" s="7">
        <f>'Danske'!F36</f>
        <v/>
      </c>
      <c r="G5" s="10">
        <f>'Danske'!I36</f>
        <v/>
      </c>
      <c r="H5" s="7">
        <f>'Danske'!B36</f>
        <v/>
      </c>
    </row>
    <row r="6">
      <c r="A6" s="6" t="inlineStr">
        <is>
          <t>Jyske Realkredit – Fastrente 4% (med afdrag)</t>
        </is>
      </c>
      <c r="B6" s="6" t="inlineStr">
        <is>
          <t>30 år, med afdrag</t>
        </is>
      </c>
      <c r="C6" s="7" t="n">
        <v>2849000</v>
      </c>
      <c r="D6" s="8" t="n">
        <v>0.04</v>
      </c>
      <c r="E6" s="9" t="n">
        <v>0.00225</v>
      </c>
      <c r="F6" s="7">
        <f>'Jyske_afdrag'!F36</f>
        <v/>
      </c>
      <c r="G6" s="10">
        <f>'Jyske_afdrag'!I36</f>
        <v/>
      </c>
      <c r="H6" s="7">
        <f>'Jyske_afdrag'!B36</f>
        <v/>
      </c>
    </row>
    <row r="7">
      <c r="A7" s="6" t="inlineStr">
        <is>
          <t>Jyske Realkredit – Fastrente 4% (afdragsfrihed 10 år)</t>
        </is>
      </c>
      <c r="B7" s="6" t="inlineStr">
        <is>
          <t>30 år, 10 års afdragsfrihed</t>
        </is>
      </c>
      <c r="C7" s="7" t="n">
        <v>2879000</v>
      </c>
      <c r="D7" s="8" t="n">
        <v>0.04</v>
      </c>
      <c r="E7" s="9" t="n">
        <v>0.00225</v>
      </c>
      <c r="F7" s="7">
        <f>'Jyske_AF10'!F36</f>
        <v/>
      </c>
      <c r="G7" s="10">
        <f>'Jyske_AF10'!I36</f>
        <v/>
      </c>
      <c r="H7" s="7">
        <f>'Jyske_AF10'!B36</f>
        <v/>
      </c>
    </row>
    <row r="8">
      <c r="A8" s="6" t="inlineStr">
        <is>
          <t>Jyske Realkredit – Fastrente 4% (afdragsfrihed 30 år)</t>
        </is>
      </c>
      <c r="B8" s="6" t="inlineStr">
        <is>
          <t>30 år, 30 års afdragsfrihed</t>
        </is>
      </c>
      <c r="C8" s="7" t="n">
        <v>2915000</v>
      </c>
      <c r="D8" s="8" t="n">
        <v>0.04</v>
      </c>
      <c r="E8" s="9" t="n">
        <v>0.00425</v>
      </c>
      <c r="F8" s="7">
        <f>'Jyske_AF30'!F36</f>
        <v/>
      </c>
      <c r="G8" s="10">
        <f>'Jyske_AF30'!I36</f>
        <v/>
      </c>
      <c r="H8" s="7">
        <f>'Jyske_AF30'!B36</f>
        <v/>
      </c>
    </row>
    <row r="10">
      <c r="A10" s="2" t="inlineStr">
        <is>
          <t>Forskel i NV af bidrag (Jyske med afdrag − Danske)</t>
        </is>
      </c>
      <c r="G10" s="11">
        <f>G6-G5</f>
        <v/>
      </c>
    </row>
    <row r="12">
      <c r="A12" s="12" t="inlineStr"/>
    </row>
    <row r="13">
      <c r="A13" s="2" t="inlineStr">
        <is>
          <t>Noter:</t>
        </is>
      </c>
    </row>
    <row r="14">
      <c r="A14" s="12" t="inlineStr">
        <is>
          <t>• Begge tilbud er 30-årige fastforrentede obligationslån med 4,00% kuponrente; den direkte sammenlignelige variant er 'med afdrag'.</t>
        </is>
      </c>
    </row>
    <row r="15">
      <c r="A15" s="12" t="inlineStr">
        <is>
          <t>• Jyske-tilbuddet oplyser bidrag pr. år direkte i ydelsesforløbet – brugt som anført.</t>
        </is>
      </c>
    </row>
    <row r="16">
      <c r="A16" s="12" t="inlineStr">
        <is>
          <t>• Danske-tilbuddet oplyser ikke bidrag i årstabellen; bidraget er rekonstrueret fra et kvartalsvist afdragsforløb (0,2060% p.a. af restgælden) og reproducerer tilbuddets 'Restgæld ultimo' inden for ~1.000 kr.</t>
        </is>
      </c>
    </row>
    <row r="17">
      <c r="A17" s="12" t="inlineStr">
        <is>
          <t>• 2026-2028 vises i tilbuddene kvartalsvist og er her aggregeret til kalenderår.</t>
        </is>
      </c>
    </row>
    <row r="18">
      <c r="A18" s="12" t="inlineStr">
        <is>
          <t>• Nutidsværdi (NV) diskonterer hvert års bidrag med 1/(1+rente)^(år−2026); 2026 diskonteres ikke (t=0).</t>
        </is>
      </c>
    </row>
    <row r="19">
      <c r="A19" s="12" t="inlineStr">
        <is>
          <t>• Afdragsfrihed holder restgælden høj længere og giver derfor markant højere samlet bidrag.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4" customWidth="1" min="9" max="9"/>
  </cols>
  <sheetData>
    <row r="1">
      <c r="A1" s="13" t="inlineStr">
        <is>
          <t>Danske / Realkredit Danmark – Obligationslån 4% (med afdrag)</t>
        </is>
      </c>
    </row>
    <row r="2">
      <c r="A2" s="14" t="inlineStr">
        <is>
          <t>Bidrag = bidragssats anvendt på restgælden. Diskonteringsrente og diskontering: se fanen 'Summary'. Diskonteringsfaktor = 1/(1+rente)^(år−2026).</t>
        </is>
      </c>
    </row>
    <row r="4">
      <c r="A4" s="5" t="inlineStr">
        <is>
          <t>År</t>
        </is>
      </c>
      <c r="B4" s="5" t="inlineStr">
        <is>
          <t>Ydelse før skat</t>
        </is>
      </c>
      <c r="C4" s="5" t="inlineStr">
        <is>
          <t>Ydelse efter skat</t>
        </is>
      </c>
      <c r="D4" s="5" t="inlineStr">
        <is>
          <t>Afdrag</t>
        </is>
      </c>
      <c r="E4" s="5" t="inlineStr">
        <is>
          <t>Renter</t>
        </is>
      </c>
      <c r="F4" s="5" t="inlineStr">
        <is>
          <t>Bidrag</t>
        </is>
      </c>
      <c r="G4" s="5" t="inlineStr">
        <is>
          <t>Restgæld ultimo</t>
        </is>
      </c>
      <c r="H4" s="5" t="inlineStr">
        <is>
          <t>Diskonteringsfaktor</t>
        </is>
      </c>
      <c r="I4" s="5" t="inlineStr">
        <is>
          <t>NV af bidrag</t>
        </is>
      </c>
    </row>
    <row r="5">
      <c r="A5" s="6" t="n">
        <v>2026</v>
      </c>
      <c r="B5" s="7" t="n">
        <v>84700</v>
      </c>
      <c r="C5" s="7" t="n">
        <v>69763</v>
      </c>
      <c r="D5" s="7" t="n">
        <v>24904</v>
      </c>
      <c r="E5" s="7" t="n">
        <v>56883</v>
      </c>
      <c r="F5" s="15" t="n">
        <v>2913</v>
      </c>
      <c r="G5" s="7" t="n">
        <v>2809096</v>
      </c>
      <c r="H5" s="16">
        <f>1/(1+Summary!$B$2)^(A5-2026)</f>
        <v/>
      </c>
      <c r="I5" s="15">
        <f>F5*H5</f>
        <v/>
      </c>
    </row>
    <row r="6">
      <c r="A6" s="6" t="n">
        <v>2027</v>
      </c>
      <c r="B6" s="7" t="n">
        <v>168397</v>
      </c>
      <c r="C6" s="7" t="n">
        <v>139082</v>
      </c>
      <c r="D6" s="7" t="n">
        <v>51045</v>
      </c>
      <c r="E6" s="7" t="n">
        <v>111604</v>
      </c>
      <c r="F6" s="15" t="n">
        <v>5748</v>
      </c>
      <c r="G6" s="7" t="n">
        <v>2758051</v>
      </c>
      <c r="H6" s="16">
        <f>1/(1+Summary!$B$2)^(A6-2026)</f>
        <v/>
      </c>
      <c r="I6" s="15">
        <f>F6*H6</f>
        <v/>
      </c>
    </row>
    <row r="7">
      <c r="A7" s="6" t="n">
        <v>2028</v>
      </c>
      <c r="B7" s="7" t="n">
        <v>168290</v>
      </c>
      <c r="C7" s="7" t="n">
        <v>139520</v>
      </c>
      <c r="D7" s="7" t="n">
        <v>53117</v>
      </c>
      <c r="E7" s="7" t="n">
        <v>109532</v>
      </c>
      <c r="F7" s="15" t="n">
        <v>5641</v>
      </c>
      <c r="G7" s="7" t="n">
        <v>2704934</v>
      </c>
      <c r="H7" s="16">
        <f>1/(1+Summary!$B$2)^(A7-2026)</f>
        <v/>
      </c>
      <c r="I7" s="15">
        <f>F7*H7</f>
        <v/>
      </c>
    </row>
    <row r="8">
      <c r="A8" s="6" t="n">
        <v>2029</v>
      </c>
      <c r="B8" s="7" t="n">
        <v>168179</v>
      </c>
      <c r="C8" s="7" t="n">
        <v>139975</v>
      </c>
      <c r="D8" s="7" t="n">
        <v>55274</v>
      </c>
      <c r="E8" s="7" t="n">
        <v>107375</v>
      </c>
      <c r="F8" s="15" t="n">
        <v>5530</v>
      </c>
      <c r="G8" s="7" t="n">
        <v>2649660</v>
      </c>
      <c r="H8" s="16">
        <f>1/(1+Summary!$B$2)^(A8-2026)</f>
        <v/>
      </c>
      <c r="I8" s="15">
        <f>F8*H8</f>
        <v/>
      </c>
    </row>
    <row r="9">
      <c r="A9" s="6" t="n">
        <v>2030</v>
      </c>
      <c r="B9" s="7" t="n">
        <v>168063</v>
      </c>
      <c r="C9" s="7" t="n">
        <v>140449</v>
      </c>
      <c r="D9" s="7" t="n">
        <v>57518</v>
      </c>
      <c r="E9" s="7" t="n">
        <v>105130</v>
      </c>
      <c r="F9" s="15" t="n">
        <v>5415</v>
      </c>
      <c r="G9" s="7" t="n">
        <v>2592142</v>
      </c>
      <c r="H9" s="16">
        <f>1/(1+Summary!$B$2)^(A9-2026)</f>
        <v/>
      </c>
      <c r="I9" s="15">
        <f>F9*H9</f>
        <v/>
      </c>
    </row>
    <row r="10">
      <c r="A10" s="6" t="n">
        <v>2031</v>
      </c>
      <c r="B10" s="7" t="n">
        <v>167943</v>
      </c>
      <c r="C10" s="7" t="n">
        <v>140942</v>
      </c>
      <c r="D10" s="7" t="n">
        <v>59853</v>
      </c>
      <c r="E10" s="7" t="n">
        <v>102796</v>
      </c>
      <c r="F10" s="15" t="n">
        <v>5294</v>
      </c>
      <c r="G10" s="7" t="n">
        <v>2532289</v>
      </c>
      <c r="H10" s="16">
        <f>1/(1+Summary!$B$2)^(A10-2026)</f>
        <v/>
      </c>
      <c r="I10" s="15">
        <f>F10*H10</f>
        <v/>
      </c>
    </row>
    <row r="11">
      <c r="A11" s="6" t="n">
        <v>2032</v>
      </c>
      <c r="B11" s="7" t="n">
        <v>167818</v>
      </c>
      <c r="C11" s="7" t="n">
        <v>141455</v>
      </c>
      <c r="D11" s="7" t="n">
        <v>62284</v>
      </c>
      <c r="E11" s="7" t="n">
        <v>100365</v>
      </c>
      <c r="F11" s="15" t="n">
        <v>5169</v>
      </c>
      <c r="G11" s="7" t="n">
        <v>2470005</v>
      </c>
      <c r="H11" s="16">
        <f>1/(1+Summary!$B$2)^(A11-2026)</f>
        <v/>
      </c>
      <c r="I11" s="15">
        <f>F11*H11</f>
        <v/>
      </c>
    </row>
    <row r="12">
      <c r="A12" s="6" t="n">
        <v>2033</v>
      </c>
      <c r="B12" s="7" t="n">
        <v>167687</v>
      </c>
      <c r="C12" s="7" t="n">
        <v>141989</v>
      </c>
      <c r="D12" s="7" t="n">
        <v>64813</v>
      </c>
      <c r="E12" s="7" t="n">
        <v>97835</v>
      </c>
      <c r="F12" s="15" t="n">
        <v>5039</v>
      </c>
      <c r="G12" s="7" t="n">
        <v>2405192</v>
      </c>
      <c r="H12" s="16">
        <f>1/(1+Summary!$B$2)^(A12-2026)</f>
        <v/>
      </c>
      <c r="I12" s="15">
        <f>F12*H12</f>
        <v/>
      </c>
    </row>
    <row r="13">
      <c r="A13" s="6" t="n">
        <v>2034</v>
      </c>
      <c r="B13" s="7" t="n">
        <v>167552</v>
      </c>
      <c r="C13" s="7" t="n">
        <v>142545</v>
      </c>
      <c r="D13" s="7" t="n">
        <v>67445</v>
      </c>
      <c r="E13" s="7" t="n">
        <v>95203</v>
      </c>
      <c r="F13" s="15" t="n">
        <v>4904</v>
      </c>
      <c r="G13" s="7" t="n">
        <v>2337747</v>
      </c>
      <c r="H13" s="16">
        <f>1/(1+Summary!$B$2)^(A13-2026)</f>
        <v/>
      </c>
      <c r="I13" s="15">
        <f>F13*H13</f>
        <v/>
      </c>
    </row>
    <row r="14">
      <c r="A14" s="6" t="n">
        <v>2035</v>
      </c>
      <c r="B14" s="7" t="n">
        <v>167411</v>
      </c>
      <c r="C14" s="7" t="n">
        <v>143123</v>
      </c>
      <c r="D14" s="7" t="n">
        <v>70183</v>
      </c>
      <c r="E14" s="7" t="n">
        <v>92465</v>
      </c>
      <c r="F14" s="15" t="n">
        <v>4763</v>
      </c>
      <c r="G14" s="7" t="n">
        <v>2267564</v>
      </c>
      <c r="H14" s="16">
        <f>1/(1+Summary!$B$2)^(A14-2026)</f>
        <v/>
      </c>
      <c r="I14" s="15">
        <f>F14*H14</f>
        <v/>
      </c>
    </row>
    <row r="15">
      <c r="A15" s="6" t="n">
        <v>2036</v>
      </c>
      <c r="B15" s="7" t="n">
        <v>167264</v>
      </c>
      <c r="C15" s="7" t="n">
        <v>143725</v>
      </c>
      <c r="D15" s="7" t="n">
        <v>73032</v>
      </c>
      <c r="E15" s="7" t="n">
        <v>89616</v>
      </c>
      <c r="F15" s="15" t="n">
        <v>4616</v>
      </c>
      <c r="G15" s="7" t="n">
        <v>2194532</v>
      </c>
      <c r="H15" s="16">
        <f>1/(1+Summary!$B$2)^(A15-2026)</f>
        <v/>
      </c>
      <c r="I15" s="15">
        <f>F15*H15</f>
        <v/>
      </c>
    </row>
    <row r="16">
      <c r="A16" s="6" t="n">
        <v>2037</v>
      </c>
      <c r="B16" s="7" t="n">
        <v>167111</v>
      </c>
      <c r="C16" s="7" t="n">
        <v>144351</v>
      </c>
      <c r="D16" s="7" t="n">
        <v>75999</v>
      </c>
      <c r="E16" s="7" t="n">
        <v>86649</v>
      </c>
      <c r="F16" s="15" t="n">
        <v>4463</v>
      </c>
      <c r="G16" s="7" t="n">
        <v>2118533</v>
      </c>
      <c r="H16" s="16">
        <f>1/(1+Summary!$B$2)^(A16-2026)</f>
        <v/>
      </c>
      <c r="I16" s="15">
        <f>F16*H16</f>
        <v/>
      </c>
    </row>
    <row r="17">
      <c r="A17" s="6" t="n">
        <v>2038</v>
      </c>
      <c r="B17" s="7" t="n">
        <v>166953</v>
      </c>
      <c r="C17" s="7" t="n">
        <v>145003</v>
      </c>
      <c r="D17" s="7" t="n">
        <v>79084</v>
      </c>
      <c r="E17" s="7" t="n">
        <v>83565</v>
      </c>
      <c r="F17" s="15" t="n">
        <v>4304</v>
      </c>
      <c r="G17" s="7" t="n">
        <v>2039449</v>
      </c>
      <c r="H17" s="16">
        <f>1/(1+Summary!$B$2)^(A17-2026)</f>
        <v/>
      </c>
      <c r="I17" s="15">
        <f>F17*H17</f>
        <v/>
      </c>
    </row>
    <row r="18">
      <c r="A18" s="6" t="n">
        <v>2039</v>
      </c>
      <c r="B18" s="7" t="n">
        <v>166787</v>
      </c>
      <c r="C18" s="7" t="n">
        <v>145681</v>
      </c>
      <c r="D18" s="7" t="n">
        <v>82295</v>
      </c>
      <c r="E18" s="7" t="n">
        <v>80353</v>
      </c>
      <c r="F18" s="15" t="n">
        <v>4139</v>
      </c>
      <c r="G18" s="7" t="n">
        <v>1957154</v>
      </c>
      <c r="H18" s="16">
        <f>1/(1+Summary!$B$2)^(A18-2026)</f>
        <v/>
      </c>
      <c r="I18" s="15">
        <f>F18*H18</f>
        <v/>
      </c>
    </row>
    <row r="19">
      <c r="A19" s="6" t="n">
        <v>2040</v>
      </c>
      <c r="B19" s="7" t="n">
        <v>166615</v>
      </c>
      <c r="C19" s="7" t="n">
        <v>146387</v>
      </c>
      <c r="D19" s="7" t="n">
        <v>85636</v>
      </c>
      <c r="E19" s="7" t="n">
        <v>77012</v>
      </c>
      <c r="F19" s="15" t="n">
        <v>3967</v>
      </c>
      <c r="G19" s="7" t="n">
        <v>1871518</v>
      </c>
      <c r="H19" s="16">
        <f>1/(1+Summary!$B$2)^(A19-2026)</f>
        <v/>
      </c>
      <c r="I19" s="15">
        <f>F19*H19</f>
        <v/>
      </c>
    </row>
    <row r="20">
      <c r="A20" s="6" t="n">
        <v>2041</v>
      </c>
      <c r="B20" s="7" t="n">
        <v>166436</v>
      </c>
      <c r="C20" s="7" t="n">
        <v>147121</v>
      </c>
      <c r="D20" s="7" t="n">
        <v>89114</v>
      </c>
      <c r="E20" s="7" t="n">
        <v>73534</v>
      </c>
      <c r="F20" s="15" t="n">
        <v>3788</v>
      </c>
      <c r="G20" s="7" t="n">
        <v>1782404</v>
      </c>
      <c r="H20" s="16">
        <f>1/(1+Summary!$B$2)^(A20-2026)</f>
        <v/>
      </c>
      <c r="I20" s="15">
        <f>F20*H20</f>
        <v/>
      </c>
    </row>
    <row r="21">
      <c r="A21" s="6" t="n">
        <v>2042</v>
      </c>
      <c r="B21" s="7" t="n">
        <v>166250</v>
      </c>
      <c r="C21" s="7" t="n">
        <v>147885</v>
      </c>
      <c r="D21" s="7" t="n">
        <v>92732</v>
      </c>
      <c r="E21" s="7" t="n">
        <v>69916</v>
      </c>
      <c r="F21" s="15" t="n">
        <v>3602</v>
      </c>
      <c r="G21" s="7" t="n">
        <v>1689672</v>
      </c>
      <c r="H21" s="16">
        <f>1/(1+Summary!$B$2)^(A21-2026)</f>
        <v/>
      </c>
      <c r="I21" s="15">
        <f>F21*H21</f>
        <v/>
      </c>
    </row>
    <row r="22">
      <c r="A22" s="6" t="n">
        <v>2043</v>
      </c>
      <c r="B22" s="7" t="n">
        <v>166056</v>
      </c>
      <c r="C22" s="7" t="n">
        <v>148680</v>
      </c>
      <c r="D22" s="7" t="n">
        <v>96498</v>
      </c>
      <c r="E22" s="7" t="n">
        <v>66150</v>
      </c>
      <c r="F22" s="15" t="n">
        <v>3408</v>
      </c>
      <c r="G22" s="7" t="n">
        <v>1593174</v>
      </c>
      <c r="H22" s="16">
        <f>1/(1+Summary!$B$2)^(A22-2026)</f>
        <v/>
      </c>
      <c r="I22" s="15">
        <f>F22*H22</f>
        <v/>
      </c>
    </row>
    <row r="23">
      <c r="A23" s="6" t="n">
        <v>2044</v>
      </c>
      <c r="B23" s="7" t="n">
        <v>165854</v>
      </c>
      <c r="C23" s="7" t="n">
        <v>149507</v>
      </c>
      <c r="D23" s="7" t="n">
        <v>100416</v>
      </c>
      <c r="E23" s="7" t="n">
        <v>62232</v>
      </c>
      <c r="F23" s="15" t="n">
        <v>3206</v>
      </c>
      <c r="G23" s="7" t="n">
        <v>1492758</v>
      </c>
      <c r="H23" s="16">
        <f>1/(1+Summary!$B$2)^(A23-2026)</f>
        <v/>
      </c>
      <c r="I23" s="15">
        <f>F23*H23</f>
        <v/>
      </c>
    </row>
    <row r="24">
      <c r="A24" s="6" t="n">
        <v>2045</v>
      </c>
      <c r="B24" s="7" t="n">
        <v>165644</v>
      </c>
      <c r="C24" s="7" t="n">
        <v>150368</v>
      </c>
      <c r="D24" s="7" t="n">
        <v>104493</v>
      </c>
      <c r="E24" s="7" t="n">
        <v>58155</v>
      </c>
      <c r="F24" s="15" t="n">
        <v>2996</v>
      </c>
      <c r="G24" s="7" t="n">
        <v>1388265</v>
      </c>
      <c r="H24" s="16">
        <f>1/(1+Summary!$B$2)^(A24-2026)</f>
        <v/>
      </c>
      <c r="I24" s="15">
        <f>F24*H24</f>
        <v/>
      </c>
    </row>
    <row r="25">
      <c r="A25" s="6" t="n">
        <v>2046</v>
      </c>
      <c r="B25" s="7" t="n">
        <v>165425</v>
      </c>
      <c r="C25" s="7" t="n">
        <v>151264</v>
      </c>
      <c r="D25" s="7" t="n">
        <v>108735</v>
      </c>
      <c r="E25" s="7" t="n">
        <v>53912</v>
      </c>
      <c r="F25" s="15" t="n">
        <v>2778</v>
      </c>
      <c r="G25" s="7" t="n">
        <v>1279530</v>
      </c>
      <c r="H25" s="16">
        <f>1/(1+Summary!$B$2)^(A25-2026)</f>
        <v/>
      </c>
      <c r="I25" s="15">
        <f>F25*H25</f>
        <v/>
      </c>
    </row>
    <row r="26">
      <c r="A26" s="6" t="n">
        <v>2047</v>
      </c>
      <c r="B26" s="7" t="n">
        <v>165198</v>
      </c>
      <c r="C26" s="7" t="n">
        <v>152197</v>
      </c>
      <c r="D26" s="7" t="n">
        <v>113151</v>
      </c>
      <c r="E26" s="7" t="n">
        <v>49497</v>
      </c>
      <c r="F26" s="15" t="n">
        <v>2550</v>
      </c>
      <c r="G26" s="7" t="n">
        <v>1166379</v>
      </c>
      <c r="H26" s="16">
        <f>1/(1+Summary!$B$2)^(A26-2026)</f>
        <v/>
      </c>
      <c r="I26" s="15">
        <f>F26*H26</f>
        <v/>
      </c>
    </row>
    <row r="27">
      <c r="A27" s="6" t="n">
        <v>2048</v>
      </c>
      <c r="B27" s="7" t="n">
        <v>164961</v>
      </c>
      <c r="C27" s="7" t="n">
        <v>153167</v>
      </c>
      <c r="D27" s="7" t="n">
        <v>117746</v>
      </c>
      <c r="E27" s="7" t="n">
        <v>44901</v>
      </c>
      <c r="F27" s="15" t="n">
        <v>2314</v>
      </c>
      <c r="G27" s="7" t="n">
        <v>1048633</v>
      </c>
      <c r="H27" s="16">
        <f>1/(1+Summary!$B$2)^(A27-2026)</f>
        <v/>
      </c>
      <c r="I27" s="15">
        <f>F27*H27</f>
        <v/>
      </c>
    </row>
    <row r="28">
      <c r="A28" s="6" t="n">
        <v>2049</v>
      </c>
      <c r="B28" s="7" t="n">
        <v>164715</v>
      </c>
      <c r="C28" s="7" t="n">
        <v>154176</v>
      </c>
      <c r="D28" s="7" t="n">
        <v>122526</v>
      </c>
      <c r="E28" s="7" t="n">
        <v>40121</v>
      </c>
      <c r="F28" s="15" t="n">
        <v>2068</v>
      </c>
      <c r="G28" s="7" t="n">
        <v>926107</v>
      </c>
      <c r="H28" s="16">
        <f>1/(1+Summary!$B$2)^(A28-2026)</f>
        <v/>
      </c>
      <c r="I28" s="15">
        <f>F28*H28</f>
        <v/>
      </c>
    </row>
    <row r="29">
      <c r="A29" s="6" t="n">
        <v>2050</v>
      </c>
      <c r="B29" s="7" t="n">
        <v>164459</v>
      </c>
      <c r="C29" s="7" t="n">
        <v>155227</v>
      </c>
      <c r="D29" s="7" t="n">
        <v>127501</v>
      </c>
      <c r="E29" s="7" t="n">
        <v>35146</v>
      </c>
      <c r="F29" s="15" t="n">
        <v>1812</v>
      </c>
      <c r="G29" s="7" t="n">
        <v>798606</v>
      </c>
      <c r="H29" s="16">
        <f>1/(1+Summary!$B$2)^(A29-2026)</f>
        <v/>
      </c>
      <c r="I29" s="15">
        <f>F29*H29</f>
        <v/>
      </c>
    </row>
    <row r="30">
      <c r="A30" s="6" t="n">
        <v>2051</v>
      </c>
      <c r="B30" s="7" t="n">
        <v>164192</v>
      </c>
      <c r="C30" s="7" t="n">
        <v>156320</v>
      </c>
      <c r="D30" s="7" t="n">
        <v>132679</v>
      </c>
      <c r="E30" s="7" t="n">
        <v>29968</v>
      </c>
      <c r="F30" s="15" t="n">
        <v>1545</v>
      </c>
      <c r="G30" s="7" t="n">
        <v>665927</v>
      </c>
      <c r="H30" s="16">
        <f>1/(1+Summary!$B$2)^(A30-2026)</f>
        <v/>
      </c>
      <c r="I30" s="15">
        <f>F30*H30</f>
        <v/>
      </c>
    </row>
    <row r="31">
      <c r="A31" s="6" t="n">
        <v>2052</v>
      </c>
      <c r="B31" s="7" t="n">
        <v>163915</v>
      </c>
      <c r="C31" s="7" t="n">
        <v>157458</v>
      </c>
      <c r="D31" s="7" t="n">
        <v>138065</v>
      </c>
      <c r="E31" s="7" t="n">
        <v>24582</v>
      </c>
      <c r="F31" s="15" t="n">
        <v>1268</v>
      </c>
      <c r="G31" s="7" t="n">
        <v>527862</v>
      </c>
      <c r="H31" s="16">
        <f>1/(1+Summary!$B$2)^(A31-2026)</f>
        <v/>
      </c>
      <c r="I31" s="15">
        <f>F31*H31</f>
        <v/>
      </c>
    </row>
    <row r="32">
      <c r="A32" s="6" t="n">
        <v>2053</v>
      </c>
      <c r="B32" s="7" t="n">
        <v>163626</v>
      </c>
      <c r="C32" s="7" t="n">
        <v>158642</v>
      </c>
      <c r="D32" s="7" t="n">
        <v>143672</v>
      </c>
      <c r="E32" s="7" t="n">
        <v>18975</v>
      </c>
      <c r="F32" s="15" t="n">
        <v>979</v>
      </c>
      <c r="G32" s="7" t="n">
        <v>384190</v>
      </c>
      <c r="H32" s="16">
        <f>1/(1+Summary!$B$2)^(A32-2026)</f>
        <v/>
      </c>
      <c r="I32" s="15">
        <f>F32*H32</f>
        <v/>
      </c>
    </row>
    <row r="33">
      <c r="A33" s="6" t="n">
        <v>2054</v>
      </c>
      <c r="B33" s="7" t="n">
        <v>163326</v>
      </c>
      <c r="C33" s="7" t="n">
        <v>159873</v>
      </c>
      <c r="D33" s="7" t="n">
        <v>149505</v>
      </c>
      <c r="E33" s="7" t="n">
        <v>13142</v>
      </c>
      <c r="F33" s="15" t="n">
        <v>679</v>
      </c>
      <c r="G33" s="7" t="n">
        <v>234685</v>
      </c>
      <c r="H33" s="16">
        <f>1/(1+Summary!$B$2)^(A33-2026)</f>
        <v/>
      </c>
      <c r="I33" s="15">
        <f>F33*H33</f>
        <v/>
      </c>
    </row>
    <row r="34">
      <c r="A34" s="6" t="n">
        <v>2055</v>
      </c>
      <c r="B34" s="7" t="n">
        <v>163013</v>
      </c>
      <c r="C34" s="7" t="n">
        <v>161155</v>
      </c>
      <c r="D34" s="7" t="n">
        <v>155576</v>
      </c>
      <c r="E34" s="7" t="n">
        <v>7071</v>
      </c>
      <c r="F34" s="15" t="n">
        <v>366</v>
      </c>
      <c r="G34" s="7" t="n">
        <v>79109</v>
      </c>
      <c r="H34" s="16">
        <f>1/(1+Summary!$B$2)^(A34-2026)</f>
        <v/>
      </c>
      <c r="I34" s="15">
        <f>F34*H34</f>
        <v/>
      </c>
    </row>
    <row r="35">
      <c r="A35" s="6" t="n">
        <v>2056</v>
      </c>
      <c r="B35" s="7" t="n">
        <v>80353</v>
      </c>
      <c r="C35" s="7" t="n">
        <v>80043</v>
      </c>
      <c r="D35" s="7" t="n">
        <v>79109</v>
      </c>
      <c r="E35" s="7" t="n">
        <v>1182</v>
      </c>
      <c r="F35" s="15" t="n">
        <v>62</v>
      </c>
      <c r="G35" s="7" t="n">
        <v>0</v>
      </c>
      <c r="H35" s="16">
        <f>1/(1+Summary!$B$2)^(A35-2026)</f>
        <v/>
      </c>
      <c r="I35" s="15">
        <f>F35*H35</f>
        <v/>
      </c>
    </row>
    <row r="36">
      <c r="A36" s="17" t="inlineStr">
        <is>
          <t>Total</t>
        </is>
      </c>
      <c r="B36" s="18">
        <f>SUM(B5:B35)</f>
        <v/>
      </c>
      <c r="C36" s="18">
        <f>SUM(C5:C35)</f>
        <v/>
      </c>
      <c r="D36" s="18">
        <f>SUM(D5:D35)</f>
        <v/>
      </c>
      <c r="E36" s="18">
        <f>SUM(E5:E35)</f>
        <v/>
      </c>
      <c r="F36" s="18">
        <f>SUM(F5:F35)</f>
        <v/>
      </c>
      <c r="G36" s="19" t="n"/>
      <c r="H36" s="19" t="n"/>
      <c r="I36" s="18">
        <f>SUM(I5:I35)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4" customWidth="1" min="9" max="9"/>
  </cols>
  <sheetData>
    <row r="1">
      <c r="A1" s="13" t="inlineStr">
        <is>
          <t>Jyske Realkredit – Fastrente 4% (med afdrag)</t>
        </is>
      </c>
    </row>
    <row r="2">
      <c r="A2" s="14" t="inlineStr">
        <is>
          <t>Bidrag = bidragssats anvendt på restgælden. Diskonteringsrente og diskontering: se fanen 'Summary'. Diskonteringsfaktor = 1/(1+rente)^(år−2026).</t>
        </is>
      </c>
    </row>
    <row r="4">
      <c r="A4" s="5" t="inlineStr">
        <is>
          <t>År</t>
        </is>
      </c>
      <c r="B4" s="5" t="inlineStr">
        <is>
          <t>Ydelse før skat</t>
        </is>
      </c>
      <c r="C4" s="5" t="inlineStr">
        <is>
          <t>Ydelse efter skat</t>
        </is>
      </c>
      <c r="D4" s="5" t="inlineStr">
        <is>
          <t>Afdrag</t>
        </is>
      </c>
      <c r="E4" s="5" t="inlineStr">
        <is>
          <t>Renter</t>
        </is>
      </c>
      <c r="F4" s="5" t="inlineStr">
        <is>
          <t>Bidrag</t>
        </is>
      </c>
      <c r="G4" s="5" t="inlineStr">
        <is>
          <t>Restgæld ultimo</t>
        </is>
      </c>
      <c r="H4" s="5" t="inlineStr">
        <is>
          <t>Diskonteringsfaktor</t>
        </is>
      </c>
      <c r="I4" s="5" t="inlineStr">
        <is>
          <t>NV af bidrag</t>
        </is>
      </c>
    </row>
    <row r="5">
      <c r="A5" s="6" t="n">
        <v>2026</v>
      </c>
      <c r="B5" s="7" t="n">
        <v>89149</v>
      </c>
      <c r="C5" s="7" t="n">
        <v>72953</v>
      </c>
      <c r="D5" s="7" t="n">
        <v>26131</v>
      </c>
      <c r="E5" s="7" t="n">
        <v>59662</v>
      </c>
      <c r="F5" s="15" t="n">
        <v>3356</v>
      </c>
      <c r="G5" s="7" t="n">
        <v>2822869</v>
      </c>
      <c r="H5" s="16">
        <f>1/(1+Summary!$B$2)^(A5-2026)</f>
        <v/>
      </c>
      <c r="I5" s="15">
        <f>F5*H5</f>
        <v/>
      </c>
    </row>
    <row r="6">
      <c r="A6" s="6" t="n">
        <v>2027</v>
      </c>
      <c r="B6" s="7" t="n">
        <v>169808</v>
      </c>
      <c r="C6" s="7" t="n">
        <v>139364</v>
      </c>
      <c r="D6" s="7" t="n">
        <v>51348</v>
      </c>
      <c r="E6" s="7" t="n">
        <v>112152</v>
      </c>
      <c r="F6" s="15" t="n">
        <v>6309</v>
      </c>
      <c r="G6" s="7" t="n">
        <v>2771521</v>
      </c>
      <c r="H6" s="16">
        <f>1/(1+Summary!$B$2)^(A6-2026)</f>
        <v/>
      </c>
      <c r="I6" s="15">
        <f>F6*H6</f>
        <v/>
      </c>
    </row>
    <row r="7">
      <c r="A7" s="6" t="n">
        <v>2028</v>
      </c>
      <c r="B7" s="7" t="n">
        <v>169690</v>
      </c>
      <c r="C7" s="7" t="n">
        <v>139812</v>
      </c>
      <c r="D7" s="7" t="n">
        <v>53433</v>
      </c>
      <c r="E7" s="7" t="n">
        <v>110066</v>
      </c>
      <c r="F7" s="15" t="n">
        <v>6192</v>
      </c>
      <c r="G7" s="7" t="n">
        <v>2718087</v>
      </c>
      <c r="H7" s="16">
        <f>1/(1+Summary!$B$2)^(A7-2026)</f>
        <v/>
      </c>
      <c r="I7" s="15">
        <f>F7*H7</f>
        <v/>
      </c>
    </row>
    <row r="8">
      <c r="A8" s="6" t="n">
        <v>2029</v>
      </c>
      <c r="B8" s="7" t="n">
        <v>169569</v>
      </c>
      <c r="C8" s="7" t="n">
        <v>140280</v>
      </c>
      <c r="D8" s="7" t="n">
        <v>55603</v>
      </c>
      <c r="E8" s="7" t="n">
        <v>107896</v>
      </c>
      <c r="F8" s="15" t="n">
        <v>6069</v>
      </c>
      <c r="G8" s="7" t="n">
        <v>2662484</v>
      </c>
      <c r="H8" s="16">
        <f>1/(1+Summary!$B$2)^(A8-2026)</f>
        <v/>
      </c>
      <c r="I8" s="15">
        <f>F8*H8</f>
        <v/>
      </c>
    </row>
    <row r="9">
      <c r="A9" s="6" t="n">
        <v>2030</v>
      </c>
      <c r="B9" s="7" t="n">
        <v>169442</v>
      </c>
      <c r="C9" s="7" t="n">
        <v>140765</v>
      </c>
      <c r="D9" s="7" t="n">
        <v>57861</v>
      </c>
      <c r="E9" s="7" t="n">
        <v>105639</v>
      </c>
      <c r="F9" s="15" t="n">
        <v>5942</v>
      </c>
      <c r="G9" s="7" t="n">
        <v>2604623</v>
      </c>
      <c r="H9" s="16">
        <f>1/(1+Summary!$B$2)^(A9-2026)</f>
        <v/>
      </c>
      <c r="I9" s="15">
        <f>F9*H9</f>
        <v/>
      </c>
    </row>
    <row r="10">
      <c r="A10" s="6" t="n">
        <v>2031</v>
      </c>
      <c r="B10" s="7" t="n">
        <v>169310</v>
      </c>
      <c r="C10" s="7" t="n">
        <v>141271</v>
      </c>
      <c r="D10" s="7" t="n">
        <v>60210</v>
      </c>
      <c r="E10" s="7" t="n">
        <v>103289</v>
      </c>
      <c r="F10" s="15" t="n">
        <v>5810</v>
      </c>
      <c r="G10" s="7" t="n">
        <v>2544413</v>
      </c>
      <c r="H10" s="16">
        <f>1/(1+Summary!$B$2)^(A10-2026)</f>
        <v/>
      </c>
      <c r="I10" s="15">
        <f>F10*H10</f>
        <v/>
      </c>
    </row>
    <row r="11">
      <c r="A11" s="6" t="n">
        <v>2032</v>
      </c>
      <c r="B11" s="7" t="n">
        <v>169172</v>
      </c>
      <c r="C11" s="7" t="n">
        <v>141797</v>
      </c>
      <c r="D11" s="7" t="n">
        <v>62655</v>
      </c>
      <c r="E11" s="7" t="n">
        <v>100844</v>
      </c>
      <c r="F11" s="15" t="n">
        <v>5673</v>
      </c>
      <c r="G11" s="7" t="n">
        <v>2481757</v>
      </c>
      <c r="H11" s="16">
        <f>1/(1+Summary!$B$2)^(A11-2026)</f>
        <v/>
      </c>
      <c r="I11" s="15">
        <f>F11*H11</f>
        <v/>
      </c>
    </row>
    <row r="12">
      <c r="A12" s="6" t="n">
        <v>2033</v>
      </c>
      <c r="B12" s="7" t="n">
        <v>169029</v>
      </c>
      <c r="C12" s="7" t="n">
        <v>142345</v>
      </c>
      <c r="D12" s="7" t="n">
        <v>65199</v>
      </c>
      <c r="E12" s="7" t="n">
        <v>98300</v>
      </c>
      <c r="F12" s="15" t="n">
        <v>5529</v>
      </c>
      <c r="G12" s="7" t="n">
        <v>2416558</v>
      </c>
      <c r="H12" s="16">
        <f>1/(1+Summary!$B$2)^(A12-2026)</f>
        <v/>
      </c>
      <c r="I12" s="15">
        <f>F12*H12</f>
        <v/>
      </c>
    </row>
    <row r="13">
      <c r="A13" s="6" t="n">
        <v>2034</v>
      </c>
      <c r="B13" s="7" t="n">
        <v>168880</v>
      </c>
      <c r="C13" s="7" t="n">
        <v>142914</v>
      </c>
      <c r="D13" s="7" t="n">
        <v>67846</v>
      </c>
      <c r="E13" s="7" t="n">
        <v>95653</v>
      </c>
      <c r="F13" s="15" t="n">
        <v>5380</v>
      </c>
      <c r="G13" s="7" t="n">
        <v>2348712</v>
      </c>
      <c r="H13" s="16">
        <f>1/(1+Summary!$B$2)^(A13-2026)</f>
        <v/>
      </c>
      <c r="I13" s="15">
        <f>F13*H13</f>
        <v/>
      </c>
    </row>
    <row r="14">
      <c r="A14" s="6" t="n">
        <v>2035</v>
      </c>
      <c r="B14" s="7" t="n">
        <v>168725</v>
      </c>
      <c r="C14" s="7" t="n">
        <v>143507</v>
      </c>
      <c r="D14" s="7" t="n">
        <v>70601</v>
      </c>
      <c r="E14" s="7" t="n">
        <v>92898</v>
      </c>
      <c r="F14" s="15" t="n">
        <v>5226</v>
      </c>
      <c r="G14" s="7" t="n">
        <v>2278111</v>
      </c>
      <c r="H14" s="16">
        <f>1/(1+Summary!$B$2)^(A14-2026)</f>
        <v/>
      </c>
      <c r="I14" s="15">
        <f>F14*H14</f>
        <v/>
      </c>
    </row>
    <row r="15">
      <c r="A15" s="6" t="n">
        <v>2036</v>
      </c>
      <c r="B15" s="7" t="n">
        <v>168564</v>
      </c>
      <c r="C15" s="7" t="n">
        <v>144124</v>
      </c>
      <c r="D15" s="7" t="n">
        <v>73468</v>
      </c>
      <c r="E15" s="7" t="n">
        <v>90032</v>
      </c>
      <c r="F15" s="15" t="n">
        <v>5064</v>
      </c>
      <c r="G15" s="7" t="n">
        <v>2204643</v>
      </c>
      <c r="H15" s="16">
        <f>1/(1+Summary!$B$2)^(A15-2026)</f>
        <v/>
      </c>
      <c r="I15" s="15">
        <f>F15*H15</f>
        <v/>
      </c>
    </row>
    <row r="16">
      <c r="A16" s="6" t="n">
        <v>2037</v>
      </c>
      <c r="B16" s="7" t="n">
        <v>168396</v>
      </c>
      <c r="C16" s="7" t="n">
        <v>144766</v>
      </c>
      <c r="D16" s="7" t="n">
        <v>76451</v>
      </c>
      <c r="E16" s="7" t="n">
        <v>87048</v>
      </c>
      <c r="F16" s="15" t="n">
        <v>4896</v>
      </c>
      <c r="G16" s="7" t="n">
        <v>2128191</v>
      </c>
      <c r="H16" s="16">
        <f>1/(1+Summary!$B$2)^(A16-2026)</f>
        <v/>
      </c>
      <c r="I16" s="15">
        <f>F16*H16</f>
        <v/>
      </c>
    </row>
    <row r="17">
      <c r="A17" s="6" t="n">
        <v>2038</v>
      </c>
      <c r="B17" s="7" t="n">
        <v>168221</v>
      </c>
      <c r="C17" s="7" t="n">
        <v>145434</v>
      </c>
      <c r="D17" s="7" t="n">
        <v>79555</v>
      </c>
      <c r="E17" s="7" t="n">
        <v>83944</v>
      </c>
      <c r="F17" s="15" t="n">
        <v>4722</v>
      </c>
      <c r="G17" s="7" t="n">
        <v>2048636</v>
      </c>
      <c r="H17" s="16">
        <f>1/(1+Summary!$B$2)^(A17-2026)</f>
        <v/>
      </c>
      <c r="I17" s="15">
        <f>F17*H17</f>
        <v/>
      </c>
    </row>
    <row r="18">
      <c r="A18" s="6" t="n">
        <v>2039</v>
      </c>
      <c r="B18" s="7" t="n">
        <v>168040</v>
      </c>
      <c r="C18" s="7" t="n">
        <v>146129</v>
      </c>
      <c r="D18" s="7" t="n">
        <v>82786</v>
      </c>
      <c r="E18" s="7" t="n">
        <v>80714</v>
      </c>
      <c r="F18" s="15" t="n">
        <v>4540</v>
      </c>
      <c r="G18" s="7" t="n">
        <v>1965850</v>
      </c>
      <c r="H18" s="16">
        <f>1/(1+Summary!$B$2)^(A18-2026)</f>
        <v/>
      </c>
      <c r="I18" s="15">
        <f>F18*H18</f>
        <v/>
      </c>
    </row>
    <row r="19">
      <c r="A19" s="6" t="n">
        <v>2040</v>
      </c>
      <c r="B19" s="7" t="n">
        <v>167851</v>
      </c>
      <c r="C19" s="7" t="n">
        <v>146853</v>
      </c>
      <c r="D19" s="7" t="n">
        <v>86147</v>
      </c>
      <c r="E19" s="7" t="n">
        <v>77353</v>
      </c>
      <c r="F19" s="15" t="n">
        <v>4351</v>
      </c>
      <c r="G19" s="7" t="n">
        <v>1879703</v>
      </c>
      <c r="H19" s="16">
        <f>1/(1+Summary!$B$2)^(A19-2026)</f>
        <v/>
      </c>
      <c r="I19" s="15">
        <f>F19*H19</f>
        <v/>
      </c>
    </row>
    <row r="20">
      <c r="A20" s="6" t="n">
        <v>2041</v>
      </c>
      <c r="B20" s="7" t="n">
        <v>167654</v>
      </c>
      <c r="C20" s="7" t="n">
        <v>147606</v>
      </c>
      <c r="D20" s="7" t="n">
        <v>89645</v>
      </c>
      <c r="E20" s="7" t="n">
        <v>73855</v>
      </c>
      <c r="F20" s="15" t="n">
        <v>4154</v>
      </c>
      <c r="G20" s="7" t="n">
        <v>1790058</v>
      </c>
      <c r="H20" s="16">
        <f>1/(1+Summary!$B$2)^(A20-2026)</f>
        <v/>
      </c>
      <c r="I20" s="15">
        <f>F20*H20</f>
        <v/>
      </c>
    </row>
    <row r="21">
      <c r="A21" s="6" t="n">
        <v>2042</v>
      </c>
      <c r="B21" s="7" t="n">
        <v>167449</v>
      </c>
      <c r="C21" s="7" t="n">
        <v>148389</v>
      </c>
      <c r="D21" s="7" t="n">
        <v>93285</v>
      </c>
      <c r="E21" s="7" t="n">
        <v>70215</v>
      </c>
      <c r="F21" s="15" t="n">
        <v>3950</v>
      </c>
      <c r="G21" s="7" t="n">
        <v>1696774</v>
      </c>
      <c r="H21" s="16">
        <f>1/(1+Summary!$B$2)^(A21-2026)</f>
        <v/>
      </c>
      <c r="I21" s="15">
        <f>F21*H21</f>
        <v/>
      </c>
    </row>
    <row r="22">
      <c r="A22" s="6" t="n">
        <v>2043</v>
      </c>
      <c r="B22" s="7" t="n">
        <v>167236</v>
      </c>
      <c r="C22" s="7" t="n">
        <v>149204</v>
      </c>
      <c r="D22" s="7" t="n">
        <v>97073</v>
      </c>
      <c r="E22" s="7" t="n">
        <v>66427</v>
      </c>
      <c r="F22" s="15" t="n">
        <v>3737</v>
      </c>
      <c r="G22" s="7" t="n">
        <v>1599701</v>
      </c>
      <c r="H22" s="16">
        <f>1/(1+Summary!$B$2)^(A22-2026)</f>
        <v/>
      </c>
      <c r="I22" s="15">
        <f>F22*H22</f>
        <v/>
      </c>
    </row>
    <row r="23">
      <c r="A23" s="6" t="n">
        <v>2044</v>
      </c>
      <c r="B23" s="7" t="n">
        <v>167014</v>
      </c>
      <c r="C23" s="7" t="n">
        <v>150052</v>
      </c>
      <c r="D23" s="7" t="n">
        <v>101014</v>
      </c>
      <c r="E23" s="7" t="n">
        <v>62485</v>
      </c>
      <c r="F23" s="15" t="n">
        <v>3515</v>
      </c>
      <c r="G23" s="7" t="n">
        <v>1498687</v>
      </c>
      <c r="H23" s="16">
        <f>1/(1+Summary!$B$2)^(A23-2026)</f>
        <v/>
      </c>
      <c r="I23" s="15">
        <f>F23*H23</f>
        <v/>
      </c>
    </row>
    <row r="24">
      <c r="A24" s="6" t="n">
        <v>2045</v>
      </c>
      <c r="B24" s="7" t="n">
        <v>166784</v>
      </c>
      <c r="C24" s="7" t="n">
        <v>150935</v>
      </c>
      <c r="D24" s="7" t="n">
        <v>105116</v>
      </c>
      <c r="E24" s="7" t="n">
        <v>58384</v>
      </c>
      <c r="F24" s="15" t="n">
        <v>3284</v>
      </c>
      <c r="G24" s="7" t="n">
        <v>1393571</v>
      </c>
      <c r="H24" s="16">
        <f>1/(1+Summary!$B$2)^(A24-2026)</f>
        <v/>
      </c>
      <c r="I24" s="15">
        <f>F24*H24</f>
        <v/>
      </c>
    </row>
    <row r="25">
      <c r="A25" s="6" t="n">
        <v>2046</v>
      </c>
      <c r="B25" s="7" t="n">
        <v>166544</v>
      </c>
      <c r="C25" s="7" t="n">
        <v>151854</v>
      </c>
      <c r="D25" s="7" t="n">
        <v>109384</v>
      </c>
      <c r="E25" s="7" t="n">
        <v>54116</v>
      </c>
      <c r="F25" s="15" t="n">
        <v>3044</v>
      </c>
      <c r="G25" s="7" t="n">
        <v>1284187</v>
      </c>
      <c r="H25" s="16">
        <f>1/(1+Summary!$B$2)^(A25-2026)</f>
        <v/>
      </c>
      <c r="I25" s="15">
        <f>F25*H25</f>
        <v/>
      </c>
    </row>
    <row r="26">
      <c r="A26" s="6" t="n">
        <v>2047</v>
      </c>
      <c r="B26" s="7" t="n">
        <v>166294</v>
      </c>
      <c r="C26" s="7" t="n">
        <v>152809</v>
      </c>
      <c r="D26" s="7" t="n">
        <v>113825</v>
      </c>
      <c r="E26" s="7" t="n">
        <v>49674</v>
      </c>
      <c r="F26" s="15" t="n">
        <v>2794</v>
      </c>
      <c r="G26" s="7" t="n">
        <v>1170362</v>
      </c>
      <c r="H26" s="16">
        <f>1/(1+Summary!$B$2)^(A26-2026)</f>
        <v/>
      </c>
      <c r="I26" s="15">
        <f>F26*H26</f>
        <v/>
      </c>
    </row>
    <row r="27">
      <c r="A27" s="6" t="n">
        <v>2048</v>
      </c>
      <c r="B27" s="7" t="n">
        <v>166034</v>
      </c>
      <c r="C27" s="7" t="n">
        <v>153804</v>
      </c>
      <c r="D27" s="7" t="n">
        <v>118447</v>
      </c>
      <c r="E27" s="7" t="n">
        <v>45053</v>
      </c>
      <c r="F27" s="15" t="n">
        <v>2534</v>
      </c>
      <c r="G27" s="7" t="n">
        <v>1051915</v>
      </c>
      <c r="H27" s="16">
        <f>1/(1+Summary!$B$2)^(A27-2026)</f>
        <v/>
      </c>
      <c r="I27" s="15">
        <f>F27*H27</f>
        <v/>
      </c>
    </row>
    <row r="28">
      <c r="A28" s="6" t="n">
        <v>2049</v>
      </c>
      <c r="B28" s="7" t="n">
        <v>165763</v>
      </c>
      <c r="C28" s="7" t="n">
        <v>154839</v>
      </c>
      <c r="D28" s="7" t="n">
        <v>123256</v>
      </c>
      <c r="E28" s="7" t="n">
        <v>40243</v>
      </c>
      <c r="F28" s="15" t="n">
        <v>2264</v>
      </c>
      <c r="G28" s="7" t="n">
        <v>928658</v>
      </c>
      <c r="H28" s="16">
        <f>1/(1+Summary!$B$2)^(A28-2026)</f>
        <v/>
      </c>
      <c r="I28" s="15">
        <f>F28*H28</f>
        <v/>
      </c>
    </row>
    <row r="29">
      <c r="A29" s="6" t="n">
        <v>2050</v>
      </c>
      <c r="B29" s="7" t="n">
        <v>165482</v>
      </c>
      <c r="C29" s="7" t="n">
        <v>155916</v>
      </c>
      <c r="D29" s="7" t="n">
        <v>128261</v>
      </c>
      <c r="E29" s="7" t="n">
        <v>35238</v>
      </c>
      <c r="F29" s="15" t="n">
        <v>1982</v>
      </c>
      <c r="G29" s="7" t="n">
        <v>800397</v>
      </c>
      <c r="H29" s="16">
        <f>1/(1+Summary!$B$2)^(A29-2026)</f>
        <v/>
      </c>
      <c r="I29" s="15">
        <f>F29*H29</f>
        <v/>
      </c>
    </row>
    <row r="30">
      <c r="A30" s="6" t="n">
        <v>2051</v>
      </c>
      <c r="B30" s="7" t="n">
        <v>165189</v>
      </c>
      <c r="C30" s="7" t="n">
        <v>157037</v>
      </c>
      <c r="D30" s="7" t="n">
        <v>133469</v>
      </c>
      <c r="E30" s="7" t="n">
        <v>30030</v>
      </c>
      <c r="F30" s="15" t="n">
        <v>1689</v>
      </c>
      <c r="G30" s="7" t="n">
        <v>666928</v>
      </c>
      <c r="H30" s="16">
        <f>1/(1+Summary!$B$2)^(A30-2026)</f>
        <v/>
      </c>
      <c r="I30" s="15">
        <f>F30*H30</f>
        <v/>
      </c>
    </row>
    <row r="31">
      <c r="A31" s="6" t="n">
        <v>2052</v>
      </c>
      <c r="B31" s="7" t="n">
        <v>164884</v>
      </c>
      <c r="C31" s="7" t="n">
        <v>158203</v>
      </c>
      <c r="D31" s="7" t="n">
        <v>138888</v>
      </c>
      <c r="E31" s="7" t="n">
        <v>24611</v>
      </c>
      <c r="F31" s="15" t="n">
        <v>1384</v>
      </c>
      <c r="G31" s="7" t="n">
        <v>528040</v>
      </c>
      <c r="H31" s="16">
        <f>1/(1+Summary!$B$2)^(A31-2026)</f>
        <v/>
      </c>
      <c r="I31" s="15">
        <f>F31*H31</f>
        <v/>
      </c>
    </row>
    <row r="32">
      <c r="A32" s="6" t="n">
        <v>2053</v>
      </c>
      <c r="B32" s="7" t="n">
        <v>164567</v>
      </c>
      <c r="C32" s="7" t="n">
        <v>159417</v>
      </c>
      <c r="D32" s="7" t="n">
        <v>144528</v>
      </c>
      <c r="E32" s="7" t="n">
        <v>18972</v>
      </c>
      <c r="F32" s="15" t="n">
        <v>1067</v>
      </c>
      <c r="G32" s="7" t="n">
        <v>383512</v>
      </c>
      <c r="H32" s="16">
        <f>1/(1+Summary!$B$2)^(A32-2026)</f>
        <v/>
      </c>
      <c r="I32" s="15">
        <f>F32*H32</f>
        <v/>
      </c>
    </row>
    <row r="33">
      <c r="A33" s="6" t="n">
        <v>2054</v>
      </c>
      <c r="B33" s="7" t="n">
        <v>164400</v>
      </c>
      <c r="C33" s="7" t="n">
        <v>160801</v>
      </c>
      <c r="D33" s="7" t="n">
        <v>150396</v>
      </c>
      <c r="E33" s="7" t="n">
        <v>13103</v>
      </c>
      <c r="F33" s="15" t="n">
        <v>900</v>
      </c>
      <c r="G33" s="7" t="n">
        <v>233115</v>
      </c>
      <c r="H33" s="16">
        <f>1/(1+Summary!$B$2)^(A33-2026)</f>
        <v/>
      </c>
      <c r="I33" s="15">
        <f>F33*H33</f>
        <v/>
      </c>
    </row>
    <row r="34">
      <c r="A34" s="6" t="n">
        <v>2055</v>
      </c>
      <c r="B34" s="7" t="n">
        <v>164400</v>
      </c>
      <c r="C34" s="7" t="n">
        <v>162370</v>
      </c>
      <c r="D34" s="7" t="n">
        <v>156503</v>
      </c>
      <c r="E34" s="7" t="n">
        <v>6997</v>
      </c>
      <c r="F34" s="15" t="n">
        <v>900</v>
      </c>
      <c r="G34" s="7" t="n">
        <v>76612</v>
      </c>
      <c r="H34" s="16">
        <f>1/(1+Summary!$B$2)^(A34-2026)</f>
        <v/>
      </c>
      <c r="I34" s="15">
        <f>F34*H34</f>
        <v/>
      </c>
    </row>
    <row r="35">
      <c r="A35" s="6" t="n">
        <v>2056</v>
      </c>
      <c r="B35" s="7" t="n">
        <v>78193</v>
      </c>
      <c r="C35" s="7" t="n">
        <v>77787</v>
      </c>
      <c r="D35" s="7" t="n">
        <v>76612</v>
      </c>
      <c r="E35" s="7" t="n">
        <v>1131</v>
      </c>
      <c r="F35" s="15" t="n">
        <v>450</v>
      </c>
      <c r="G35" s="7" t="n">
        <v>0</v>
      </c>
      <c r="H35" s="16">
        <f>1/(1+Summary!$B$2)^(A35-2026)</f>
        <v/>
      </c>
      <c r="I35" s="15">
        <f>F35*H35</f>
        <v/>
      </c>
    </row>
    <row r="36">
      <c r="A36" s="17" t="inlineStr">
        <is>
          <t>Total</t>
        </is>
      </c>
      <c r="B36" s="18">
        <f>SUM(B5:B35)</f>
        <v/>
      </c>
      <c r="C36" s="18">
        <f>SUM(C5:C35)</f>
        <v/>
      </c>
      <c r="D36" s="18">
        <f>SUM(D5:D35)</f>
        <v/>
      </c>
      <c r="E36" s="18">
        <f>SUM(E5:E35)</f>
        <v/>
      </c>
      <c r="F36" s="18">
        <f>SUM(F5:F35)</f>
        <v/>
      </c>
      <c r="G36" s="19" t="n"/>
      <c r="H36" s="19" t="n"/>
      <c r="I36" s="18">
        <f>SUM(I5:I35)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4" customWidth="1" min="9" max="9"/>
  </cols>
  <sheetData>
    <row r="1">
      <c r="A1" s="13" t="inlineStr">
        <is>
          <t>Jyske Realkredit – Fastrente 4% (afdragsfrihed 10 år)</t>
        </is>
      </c>
    </row>
    <row r="2">
      <c r="A2" s="14" t="inlineStr">
        <is>
          <t>Bidrag = bidragssats anvendt på restgælden. Diskonteringsrente og diskontering: se fanen 'Summary'. Diskonteringsfaktor = 1/(1+rente)^(år−2026).</t>
        </is>
      </c>
    </row>
    <row r="4">
      <c r="A4" s="5" t="inlineStr">
        <is>
          <t>År</t>
        </is>
      </c>
      <c r="B4" s="5" t="inlineStr">
        <is>
          <t>Ydelse før skat</t>
        </is>
      </c>
      <c r="C4" s="5" t="inlineStr">
        <is>
          <t>Ydelse efter skat</t>
        </is>
      </c>
      <c r="D4" s="5" t="inlineStr">
        <is>
          <t>Afdrag</t>
        </is>
      </c>
      <c r="E4" s="5" t="inlineStr">
        <is>
          <t>Renter</t>
        </is>
      </c>
      <c r="F4" s="5" t="inlineStr">
        <is>
          <t>Bidrag</t>
        </is>
      </c>
      <c r="G4" s="5" t="inlineStr">
        <is>
          <t>Restgæld ultimo</t>
        </is>
      </c>
      <c r="H4" s="5" t="inlineStr">
        <is>
          <t>Diskonteringsfaktor</t>
        </is>
      </c>
      <c r="I4" s="5" t="inlineStr">
        <is>
          <t>NV af bidrag</t>
        </is>
      </c>
    </row>
    <row r="5">
      <c r="A5" s="6" t="n">
        <v>2026</v>
      </c>
      <c r="B5" s="7" t="n">
        <v>63826</v>
      </c>
      <c r="C5" s="7" t="n">
        <v>47423</v>
      </c>
      <c r="D5" s="7" t="n">
        <v>0</v>
      </c>
      <c r="E5" s="7" t="n">
        <v>60427</v>
      </c>
      <c r="F5" s="15" t="n">
        <v>3399</v>
      </c>
      <c r="G5" s="7" t="n">
        <v>2879000</v>
      </c>
      <c r="H5" s="16">
        <f>1/(1+Summary!$B$2)^(A5-2026)</f>
        <v/>
      </c>
      <c r="I5" s="15">
        <f>F5*H5</f>
        <v/>
      </c>
    </row>
    <row r="6">
      <c r="A6" s="6" t="n">
        <v>2027</v>
      </c>
      <c r="B6" s="7" t="n">
        <v>121636</v>
      </c>
      <c r="C6" s="7" t="n">
        <v>90376</v>
      </c>
      <c r="D6" s="7" t="n">
        <v>0</v>
      </c>
      <c r="E6" s="7" t="n">
        <v>115160</v>
      </c>
      <c r="F6" s="15" t="n">
        <v>6476</v>
      </c>
      <c r="G6" s="7" t="n">
        <v>2879000</v>
      </c>
      <c r="H6" s="16">
        <f>1/(1+Summary!$B$2)^(A6-2026)</f>
        <v/>
      </c>
      <c r="I6" s="15">
        <f>F6*H6</f>
        <v/>
      </c>
    </row>
    <row r="7">
      <c r="A7" s="6" t="n">
        <v>2028</v>
      </c>
      <c r="B7" s="7" t="n">
        <v>121636</v>
      </c>
      <c r="C7" s="7" t="n">
        <v>90376</v>
      </c>
      <c r="D7" s="7" t="n">
        <v>0</v>
      </c>
      <c r="E7" s="7" t="n">
        <v>115160</v>
      </c>
      <c r="F7" s="15" t="n">
        <v>6476</v>
      </c>
      <c r="G7" s="7" t="n">
        <v>2879000</v>
      </c>
      <c r="H7" s="16">
        <f>1/(1+Summary!$B$2)^(A7-2026)</f>
        <v/>
      </c>
      <c r="I7" s="15">
        <f>F7*H7</f>
        <v/>
      </c>
    </row>
    <row r="8">
      <c r="A8" s="6" t="n">
        <v>2029</v>
      </c>
      <c r="B8" s="7" t="n">
        <v>121638</v>
      </c>
      <c r="C8" s="7" t="n">
        <v>90377</v>
      </c>
      <c r="D8" s="7" t="n">
        <v>0</v>
      </c>
      <c r="E8" s="7" t="n">
        <v>115160</v>
      </c>
      <c r="F8" s="15" t="n">
        <v>6478</v>
      </c>
      <c r="G8" s="7" t="n">
        <v>2879000</v>
      </c>
      <c r="H8" s="16">
        <f>1/(1+Summary!$B$2)^(A8-2026)</f>
        <v/>
      </c>
      <c r="I8" s="15">
        <f>F8*H8</f>
        <v/>
      </c>
    </row>
    <row r="9">
      <c r="A9" s="6" t="n">
        <v>2030</v>
      </c>
      <c r="B9" s="7" t="n">
        <v>121638</v>
      </c>
      <c r="C9" s="7" t="n">
        <v>90377</v>
      </c>
      <c r="D9" s="7" t="n">
        <v>0</v>
      </c>
      <c r="E9" s="7" t="n">
        <v>115160</v>
      </c>
      <c r="F9" s="15" t="n">
        <v>6478</v>
      </c>
      <c r="G9" s="7" t="n">
        <v>2879000</v>
      </c>
      <c r="H9" s="16">
        <f>1/(1+Summary!$B$2)^(A9-2026)</f>
        <v/>
      </c>
      <c r="I9" s="15">
        <f>F9*H9</f>
        <v/>
      </c>
    </row>
    <row r="10">
      <c r="A10" s="6" t="n">
        <v>2031</v>
      </c>
      <c r="B10" s="7" t="n">
        <v>121638</v>
      </c>
      <c r="C10" s="7" t="n">
        <v>90377</v>
      </c>
      <c r="D10" s="7" t="n">
        <v>0</v>
      </c>
      <c r="E10" s="7" t="n">
        <v>115160</v>
      </c>
      <c r="F10" s="15" t="n">
        <v>6478</v>
      </c>
      <c r="G10" s="7" t="n">
        <v>2879000</v>
      </c>
      <c r="H10" s="16">
        <f>1/(1+Summary!$B$2)^(A10-2026)</f>
        <v/>
      </c>
      <c r="I10" s="15">
        <f>F10*H10</f>
        <v/>
      </c>
    </row>
    <row r="11">
      <c r="A11" s="6" t="n">
        <v>2032</v>
      </c>
      <c r="B11" s="7" t="n">
        <v>121638</v>
      </c>
      <c r="C11" s="7" t="n">
        <v>90377</v>
      </c>
      <c r="D11" s="7" t="n">
        <v>0</v>
      </c>
      <c r="E11" s="7" t="n">
        <v>115160</v>
      </c>
      <c r="F11" s="15" t="n">
        <v>6478</v>
      </c>
      <c r="G11" s="7" t="n">
        <v>2879000</v>
      </c>
      <c r="H11" s="16">
        <f>1/(1+Summary!$B$2)^(A11-2026)</f>
        <v/>
      </c>
      <c r="I11" s="15">
        <f>F11*H11</f>
        <v/>
      </c>
    </row>
    <row r="12">
      <c r="A12" s="6" t="n">
        <v>2033</v>
      </c>
      <c r="B12" s="7" t="n">
        <v>121638</v>
      </c>
      <c r="C12" s="7" t="n">
        <v>90377</v>
      </c>
      <c r="D12" s="7" t="n">
        <v>0</v>
      </c>
      <c r="E12" s="7" t="n">
        <v>115160</v>
      </c>
      <c r="F12" s="15" t="n">
        <v>6478</v>
      </c>
      <c r="G12" s="7" t="n">
        <v>2879000</v>
      </c>
      <c r="H12" s="16">
        <f>1/(1+Summary!$B$2)^(A12-2026)</f>
        <v/>
      </c>
      <c r="I12" s="15">
        <f>F12*H12</f>
        <v/>
      </c>
    </row>
    <row r="13">
      <c r="A13" s="6" t="n">
        <v>2034</v>
      </c>
      <c r="B13" s="7" t="n">
        <v>121638</v>
      </c>
      <c r="C13" s="7" t="n">
        <v>90377</v>
      </c>
      <c r="D13" s="7" t="n">
        <v>0</v>
      </c>
      <c r="E13" s="7" t="n">
        <v>115160</v>
      </c>
      <c r="F13" s="15" t="n">
        <v>6478</v>
      </c>
      <c r="G13" s="7" t="n">
        <v>2879000</v>
      </c>
      <c r="H13" s="16">
        <f>1/(1+Summary!$B$2)^(A13-2026)</f>
        <v/>
      </c>
      <c r="I13" s="15">
        <f>F13*H13</f>
        <v/>
      </c>
    </row>
    <row r="14">
      <c r="A14" s="6" t="n">
        <v>2035</v>
      </c>
      <c r="B14" s="7" t="n">
        <v>121638</v>
      </c>
      <c r="C14" s="7" t="n">
        <v>90377</v>
      </c>
      <c r="D14" s="7" t="n">
        <v>0</v>
      </c>
      <c r="E14" s="7" t="n">
        <v>115160</v>
      </c>
      <c r="F14" s="15" t="n">
        <v>6478</v>
      </c>
      <c r="G14" s="7" t="n">
        <v>2879000</v>
      </c>
      <c r="H14" s="16">
        <f>1/(1+Summary!$B$2)^(A14-2026)</f>
        <v/>
      </c>
      <c r="I14" s="15">
        <f>F14*H14</f>
        <v/>
      </c>
    </row>
    <row r="15">
      <c r="A15" s="6" t="n">
        <v>2036</v>
      </c>
      <c r="B15" s="7" t="n">
        <v>168949</v>
      </c>
      <c r="C15" s="7" t="n">
        <v>137752</v>
      </c>
      <c r="D15" s="7" t="n">
        <v>47561</v>
      </c>
      <c r="E15" s="7" t="n">
        <v>114923</v>
      </c>
      <c r="F15" s="15" t="n">
        <v>6464</v>
      </c>
      <c r="G15" s="7" t="n">
        <v>2831439</v>
      </c>
      <c r="H15" s="16">
        <f>1/(1+Summary!$B$2)^(A15-2026)</f>
        <v/>
      </c>
      <c r="I15" s="15">
        <f>F15*H15</f>
        <v/>
      </c>
    </row>
    <row r="16">
      <c r="A16" s="6" t="n">
        <v>2037</v>
      </c>
      <c r="B16" s="7" t="n">
        <v>216098</v>
      </c>
      <c r="C16" s="7" t="n">
        <v>185749</v>
      </c>
      <c r="D16" s="7" t="n">
        <v>98009</v>
      </c>
      <c r="E16" s="7" t="n">
        <v>111800</v>
      </c>
      <c r="F16" s="15" t="n">
        <v>6289</v>
      </c>
      <c r="G16" s="7" t="n">
        <v>2733430</v>
      </c>
      <c r="H16" s="16">
        <f>1/(1+Summary!$B$2)^(A16-2026)</f>
        <v/>
      </c>
      <c r="I16" s="15">
        <f>F16*H16</f>
        <v/>
      </c>
    </row>
    <row r="17">
      <c r="A17" s="6" t="n">
        <v>2038</v>
      </c>
      <c r="B17" s="7" t="n">
        <v>215874</v>
      </c>
      <c r="C17" s="7" t="n">
        <v>186605</v>
      </c>
      <c r="D17" s="7" t="n">
        <v>101989</v>
      </c>
      <c r="E17" s="7" t="n">
        <v>107820</v>
      </c>
      <c r="F17" s="15" t="n">
        <v>6065</v>
      </c>
      <c r="G17" s="7" t="n">
        <v>2631441</v>
      </c>
      <c r="H17" s="16">
        <f>1/(1+Summary!$B$2)^(A17-2026)</f>
        <v/>
      </c>
      <c r="I17" s="15">
        <f>F17*H17</f>
        <v/>
      </c>
    </row>
    <row r="18">
      <c r="A18" s="6" t="n">
        <v>2039</v>
      </c>
      <c r="B18" s="7" t="n">
        <v>215641</v>
      </c>
      <c r="C18" s="7" t="n">
        <v>187496</v>
      </c>
      <c r="D18" s="7" t="n">
        <v>106130</v>
      </c>
      <c r="E18" s="7" t="n">
        <v>103679</v>
      </c>
      <c r="F18" s="15" t="n">
        <v>5832</v>
      </c>
      <c r="G18" s="7" t="n">
        <v>2525311</v>
      </c>
      <c r="H18" s="16">
        <f>1/(1+Summary!$B$2)^(A18-2026)</f>
        <v/>
      </c>
      <c r="I18" s="15">
        <f>F18*H18</f>
        <v/>
      </c>
    </row>
    <row r="19">
      <c r="A19" s="6" t="n">
        <v>2040</v>
      </c>
      <c r="B19" s="7" t="n">
        <v>215398</v>
      </c>
      <c r="C19" s="7" t="n">
        <v>188424</v>
      </c>
      <c r="D19" s="7" t="n">
        <v>110439</v>
      </c>
      <c r="E19" s="7" t="n">
        <v>99370</v>
      </c>
      <c r="F19" s="15" t="n">
        <v>5590</v>
      </c>
      <c r="G19" s="7" t="n">
        <v>2414872</v>
      </c>
      <c r="H19" s="16">
        <f>1/(1+Summary!$B$2)^(A19-2026)</f>
        <v/>
      </c>
      <c r="I19" s="15">
        <f>F19*H19</f>
        <v/>
      </c>
    </row>
    <row r="20">
      <c r="A20" s="6" t="n">
        <v>2041</v>
      </c>
      <c r="B20" s="7" t="n">
        <v>215146</v>
      </c>
      <c r="C20" s="7" t="n">
        <v>189389</v>
      </c>
      <c r="D20" s="7" t="n">
        <v>114924</v>
      </c>
      <c r="E20" s="7" t="n">
        <v>94885</v>
      </c>
      <c r="F20" s="15" t="n">
        <v>5337</v>
      </c>
      <c r="G20" s="7" t="n">
        <v>2299948</v>
      </c>
      <c r="H20" s="16">
        <f>1/(1+Summary!$B$2)^(A20-2026)</f>
        <v/>
      </c>
      <c r="I20" s="15">
        <f>F20*H20</f>
        <v/>
      </c>
    </row>
    <row r="21">
      <c r="A21" s="6" t="n">
        <v>2042</v>
      </c>
      <c r="B21" s="7" t="n">
        <v>214884</v>
      </c>
      <c r="C21" s="7" t="n">
        <v>190393</v>
      </c>
      <c r="D21" s="7" t="n">
        <v>119590</v>
      </c>
      <c r="E21" s="7" t="n">
        <v>90219</v>
      </c>
      <c r="F21" s="15" t="n">
        <v>5075</v>
      </c>
      <c r="G21" s="7" t="n">
        <v>2180358</v>
      </c>
      <c r="H21" s="16">
        <f>1/(1+Summary!$B$2)^(A21-2026)</f>
        <v/>
      </c>
      <c r="I21" s="15">
        <f>F21*H21</f>
        <v/>
      </c>
    </row>
    <row r="22">
      <c r="A22" s="6" t="n">
        <v>2043</v>
      </c>
      <c r="B22" s="7" t="n">
        <v>214611</v>
      </c>
      <c r="C22" s="7" t="n">
        <v>191438</v>
      </c>
      <c r="D22" s="7" t="n">
        <v>124446</v>
      </c>
      <c r="E22" s="7" t="n">
        <v>85363</v>
      </c>
      <c r="F22" s="15" t="n">
        <v>4802</v>
      </c>
      <c r="G22" s="7" t="n">
        <v>2055913</v>
      </c>
      <c r="H22" s="16">
        <f>1/(1+Summary!$B$2)^(A22-2026)</f>
        <v/>
      </c>
      <c r="I22" s="15">
        <f>F22*H22</f>
        <v/>
      </c>
    </row>
    <row r="23">
      <c r="A23" s="6" t="n">
        <v>2044</v>
      </c>
      <c r="B23" s="7" t="n">
        <v>214326</v>
      </c>
      <c r="C23" s="7" t="n">
        <v>192526</v>
      </c>
      <c r="D23" s="7" t="n">
        <v>129499</v>
      </c>
      <c r="E23" s="7" t="n">
        <v>80310</v>
      </c>
      <c r="F23" s="15" t="n">
        <v>4517</v>
      </c>
      <c r="G23" s="7" t="n">
        <v>1926414</v>
      </c>
      <c r="H23" s="16">
        <f>1/(1+Summary!$B$2)^(A23-2026)</f>
        <v/>
      </c>
      <c r="I23" s="15">
        <f>F23*H23</f>
        <v/>
      </c>
    </row>
    <row r="24">
      <c r="A24" s="6" t="n">
        <v>2045</v>
      </c>
      <c r="B24" s="7" t="n">
        <v>214031</v>
      </c>
      <c r="C24" s="7" t="n">
        <v>193657</v>
      </c>
      <c r="D24" s="7" t="n">
        <v>134757</v>
      </c>
      <c r="E24" s="7" t="n">
        <v>75052</v>
      </c>
      <c r="F24" s="15" t="n">
        <v>4222</v>
      </c>
      <c r="G24" s="7" t="n">
        <v>1791657</v>
      </c>
      <c r="H24" s="16">
        <f>1/(1+Summary!$B$2)^(A24-2026)</f>
        <v/>
      </c>
      <c r="I24" s="15">
        <f>F24*H24</f>
        <v/>
      </c>
    </row>
    <row r="25">
      <c r="A25" s="6" t="n">
        <v>2046</v>
      </c>
      <c r="B25" s="7" t="n">
        <v>213723</v>
      </c>
      <c r="C25" s="7" t="n">
        <v>194835</v>
      </c>
      <c r="D25" s="7" t="n">
        <v>140229</v>
      </c>
      <c r="E25" s="7" t="n">
        <v>69580</v>
      </c>
      <c r="F25" s="15" t="n">
        <v>3914</v>
      </c>
      <c r="G25" s="7" t="n">
        <v>1651428</v>
      </c>
      <c r="H25" s="16">
        <f>1/(1+Summary!$B$2)^(A25-2026)</f>
        <v/>
      </c>
      <c r="I25" s="15">
        <f>F25*H25</f>
        <v/>
      </c>
    </row>
    <row r="26">
      <c r="A26" s="6" t="n">
        <v>2047</v>
      </c>
      <c r="B26" s="7" t="n">
        <v>213402</v>
      </c>
      <c r="C26" s="7" t="n">
        <v>196060</v>
      </c>
      <c r="D26" s="7" t="n">
        <v>145922</v>
      </c>
      <c r="E26" s="7" t="n">
        <v>63886</v>
      </c>
      <c r="F26" s="15" t="n">
        <v>3594</v>
      </c>
      <c r="G26" s="7" t="n">
        <v>1505506</v>
      </c>
      <c r="H26" s="16">
        <f>1/(1+Summary!$B$2)^(A26-2026)</f>
        <v/>
      </c>
      <c r="I26" s="15">
        <f>F26*H26</f>
        <v/>
      </c>
    </row>
    <row r="27">
      <c r="A27" s="6" t="n">
        <v>2048</v>
      </c>
      <c r="B27" s="7" t="n">
        <v>213069</v>
      </c>
      <c r="C27" s="7" t="n">
        <v>197335</v>
      </c>
      <c r="D27" s="7" t="n">
        <v>151847</v>
      </c>
      <c r="E27" s="7" t="n">
        <v>57961</v>
      </c>
      <c r="F27" s="15" t="n">
        <v>3260</v>
      </c>
      <c r="G27" s="7" t="n">
        <v>1353659</v>
      </c>
      <c r="H27" s="16">
        <f>1/(1+Summary!$B$2)^(A27-2026)</f>
        <v/>
      </c>
      <c r="I27" s="15">
        <f>F27*H27</f>
        <v/>
      </c>
    </row>
    <row r="28">
      <c r="A28" s="6" t="n">
        <v>2049</v>
      </c>
      <c r="B28" s="7" t="n">
        <v>212722</v>
      </c>
      <c r="C28" s="7" t="n">
        <v>198662</v>
      </c>
      <c r="D28" s="7" t="n">
        <v>158013</v>
      </c>
      <c r="E28" s="7" t="n">
        <v>51796</v>
      </c>
      <c r="F28" s="15" t="n">
        <v>2914</v>
      </c>
      <c r="G28" s="7" t="n">
        <v>1195646</v>
      </c>
      <c r="H28" s="16">
        <f>1/(1+Summary!$B$2)^(A28-2026)</f>
        <v/>
      </c>
      <c r="I28" s="15">
        <f>F28*H28</f>
        <v/>
      </c>
    </row>
    <row r="29">
      <c r="A29" s="6" t="n">
        <v>2050</v>
      </c>
      <c r="B29" s="7" t="n">
        <v>212361</v>
      </c>
      <c r="C29" s="7" t="n">
        <v>200043</v>
      </c>
      <c r="D29" s="7" t="n">
        <v>164429</v>
      </c>
      <c r="E29" s="7" t="n">
        <v>45380</v>
      </c>
      <c r="F29" s="15" t="n">
        <v>2553</v>
      </c>
      <c r="G29" s="7" t="n">
        <v>1031217</v>
      </c>
      <c r="H29" s="16">
        <f>1/(1+Summary!$B$2)^(A29-2026)</f>
        <v/>
      </c>
      <c r="I29" s="15">
        <f>F29*H29</f>
        <v/>
      </c>
    </row>
    <row r="30">
      <c r="A30" s="6" t="n">
        <v>2051</v>
      </c>
      <c r="B30" s="7" t="n">
        <v>211986</v>
      </c>
      <c r="C30" s="7" t="n">
        <v>201480</v>
      </c>
      <c r="D30" s="7" t="n">
        <v>171105</v>
      </c>
      <c r="E30" s="7" t="n">
        <v>38703</v>
      </c>
      <c r="F30" s="15" t="n">
        <v>2177</v>
      </c>
      <c r="G30" s="7" t="n">
        <v>860111</v>
      </c>
      <c r="H30" s="16">
        <f>1/(1+Summary!$B$2)^(A30-2026)</f>
        <v/>
      </c>
      <c r="I30" s="15">
        <f>F30*H30</f>
        <v/>
      </c>
    </row>
    <row r="31">
      <c r="A31" s="6" t="n">
        <v>2052</v>
      </c>
      <c r="B31" s="7" t="n">
        <v>211595</v>
      </c>
      <c r="C31" s="7" t="n">
        <v>202975</v>
      </c>
      <c r="D31" s="7" t="n">
        <v>178053</v>
      </c>
      <c r="E31" s="7" t="n">
        <v>31756</v>
      </c>
      <c r="F31" s="15" t="n">
        <v>1786</v>
      </c>
      <c r="G31" s="7" t="n">
        <v>682058</v>
      </c>
      <c r="H31" s="16">
        <f>1/(1+Summary!$B$2)^(A31-2026)</f>
        <v/>
      </c>
      <c r="I31" s="15">
        <f>F31*H31</f>
        <v/>
      </c>
    </row>
    <row r="32">
      <c r="A32" s="6" t="n">
        <v>2053</v>
      </c>
      <c r="B32" s="7" t="n">
        <v>211188</v>
      </c>
      <c r="C32" s="7" t="n">
        <v>204531</v>
      </c>
      <c r="D32" s="7" t="n">
        <v>185283</v>
      </c>
      <c r="E32" s="7" t="n">
        <v>24526</v>
      </c>
      <c r="F32" s="15" t="n">
        <v>1380</v>
      </c>
      <c r="G32" s="7" t="n">
        <v>496775</v>
      </c>
      <c r="H32" s="16">
        <f>1/(1+Summary!$B$2)^(A32-2026)</f>
        <v/>
      </c>
      <c r="I32" s="15">
        <f>F32*H32</f>
        <v/>
      </c>
    </row>
    <row r="33">
      <c r="A33" s="6" t="n">
        <v>2054</v>
      </c>
      <c r="B33" s="7" t="n">
        <v>210792</v>
      </c>
      <c r="C33" s="7" t="n">
        <v>206169</v>
      </c>
      <c r="D33" s="7" t="n">
        <v>192806</v>
      </c>
      <c r="E33" s="7" t="n">
        <v>17003</v>
      </c>
      <c r="F33" s="15" t="n">
        <v>983</v>
      </c>
      <c r="G33" s="7" t="n">
        <v>303969</v>
      </c>
      <c r="H33" s="16">
        <f>1/(1+Summary!$B$2)^(A33-2026)</f>
        <v/>
      </c>
      <c r="I33" s="15">
        <f>F33*H33</f>
        <v/>
      </c>
    </row>
    <row r="34">
      <c r="A34" s="6" t="n">
        <v>2055</v>
      </c>
      <c r="B34" s="7" t="n">
        <v>210709</v>
      </c>
      <c r="C34" s="7" t="n">
        <v>208120</v>
      </c>
      <c r="D34" s="7" t="n">
        <v>200635</v>
      </c>
      <c r="E34" s="7" t="n">
        <v>9174</v>
      </c>
      <c r="F34" s="15" t="n">
        <v>900</v>
      </c>
      <c r="G34" s="7" t="n">
        <v>103335</v>
      </c>
      <c r="H34" s="16">
        <f>1/(1+Summary!$B$2)^(A34-2026)</f>
        <v/>
      </c>
      <c r="I34" s="15">
        <f>F34*H34</f>
        <v/>
      </c>
    </row>
    <row r="35">
      <c r="A35" s="6" t="n">
        <v>2056</v>
      </c>
      <c r="B35" s="7" t="n">
        <v>105337</v>
      </c>
      <c r="C35" s="7" t="n">
        <v>104823</v>
      </c>
      <c r="D35" s="7" t="n">
        <v>103335</v>
      </c>
      <c r="E35" s="7" t="n">
        <v>1553</v>
      </c>
      <c r="F35" s="15" t="n">
        <v>450</v>
      </c>
      <c r="G35" s="7" t="n">
        <v>0</v>
      </c>
      <c r="H35" s="16">
        <f>1/(1+Summary!$B$2)^(A35-2026)</f>
        <v/>
      </c>
      <c r="I35" s="15">
        <f>F35*H35</f>
        <v/>
      </c>
    </row>
    <row r="36">
      <c r="A36" s="17" t="inlineStr">
        <is>
          <t>Total</t>
        </is>
      </c>
      <c r="B36" s="18">
        <f>SUM(B5:B35)</f>
        <v/>
      </c>
      <c r="C36" s="18">
        <f>SUM(C5:C35)</f>
        <v/>
      </c>
      <c r="D36" s="18">
        <f>SUM(D5:D35)</f>
        <v/>
      </c>
      <c r="E36" s="18">
        <f>SUM(E5:E35)</f>
        <v/>
      </c>
      <c r="F36" s="18">
        <f>SUM(F5:F35)</f>
        <v/>
      </c>
      <c r="G36" s="19" t="n"/>
      <c r="H36" s="19" t="n"/>
      <c r="I36" s="18">
        <f>SUM(I5:I35)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4" customWidth="1" min="9" max="9"/>
  </cols>
  <sheetData>
    <row r="1">
      <c r="A1" s="13" t="inlineStr">
        <is>
          <t>Jyske Realkredit – Fastrente 4% (afdragsfrihed 30 år)</t>
        </is>
      </c>
    </row>
    <row r="2">
      <c r="A2" s="14" t="inlineStr">
        <is>
          <t>Bidrag = bidragssats anvendt på restgælden. Diskonteringsrente og diskontering: se fanen 'Summary'. Diskonteringsfaktor = 1/(1+rente)^(år−2026).</t>
        </is>
      </c>
    </row>
    <row r="4">
      <c r="A4" s="5" t="inlineStr">
        <is>
          <t>År</t>
        </is>
      </c>
      <c r="B4" s="5" t="inlineStr">
        <is>
          <t>Ydelse før skat</t>
        </is>
      </c>
      <c r="C4" s="5" t="inlineStr">
        <is>
          <t>Ydelse efter skat</t>
        </is>
      </c>
      <c r="D4" s="5" t="inlineStr">
        <is>
          <t>Afdrag</t>
        </is>
      </c>
      <c r="E4" s="5" t="inlineStr">
        <is>
          <t>Renter</t>
        </is>
      </c>
      <c r="F4" s="5" t="inlineStr">
        <is>
          <t>Bidrag</t>
        </is>
      </c>
      <c r="G4" s="5" t="inlineStr">
        <is>
          <t>Restgæld ultimo</t>
        </is>
      </c>
      <c r="H4" s="5" t="inlineStr">
        <is>
          <t>Diskonteringsfaktor</t>
        </is>
      </c>
      <c r="I4" s="5" t="inlineStr">
        <is>
          <t>NV af bidrag</t>
        </is>
      </c>
    </row>
    <row r="5">
      <c r="A5" s="6" t="n">
        <v>2026</v>
      </c>
      <c r="B5" s="7" t="n">
        <v>67683</v>
      </c>
      <c r="C5" s="7" t="n">
        <v>50289</v>
      </c>
      <c r="D5" s="7" t="n">
        <v>0</v>
      </c>
      <c r="E5" s="7" t="n">
        <v>61183</v>
      </c>
      <c r="F5" s="15" t="n">
        <v>6501</v>
      </c>
      <c r="G5" s="7" t="n">
        <v>2915000</v>
      </c>
      <c r="H5" s="16">
        <f>1/(1+Summary!$B$2)^(A5-2026)</f>
        <v/>
      </c>
      <c r="I5" s="15">
        <f>F5*H5</f>
        <v/>
      </c>
    </row>
    <row r="6">
      <c r="A6" s="6" t="n">
        <v>2027</v>
      </c>
      <c r="B6" s="7" t="n">
        <v>128988</v>
      </c>
      <c r="C6" s="7" t="n">
        <v>95840</v>
      </c>
      <c r="D6" s="7" t="n">
        <v>0</v>
      </c>
      <c r="E6" s="7" t="n">
        <v>116600</v>
      </c>
      <c r="F6" s="15" t="n">
        <v>12388</v>
      </c>
      <c r="G6" s="7" t="n">
        <v>2915000</v>
      </c>
      <c r="H6" s="16">
        <f>1/(1+Summary!$B$2)^(A6-2026)</f>
        <v/>
      </c>
      <c r="I6" s="15">
        <f>F6*H6</f>
        <v/>
      </c>
    </row>
    <row r="7">
      <c r="A7" s="6" t="n">
        <v>2028</v>
      </c>
      <c r="B7" s="7" t="n">
        <v>128988</v>
      </c>
      <c r="C7" s="7" t="n">
        <v>95840</v>
      </c>
      <c r="D7" s="7" t="n">
        <v>0</v>
      </c>
      <c r="E7" s="7" t="n">
        <v>116600</v>
      </c>
      <c r="F7" s="15" t="n">
        <v>12388</v>
      </c>
      <c r="G7" s="7" t="n">
        <v>2915000</v>
      </c>
      <c r="H7" s="16">
        <f>1/(1+Summary!$B$2)^(A7-2026)</f>
        <v/>
      </c>
      <c r="I7" s="15">
        <f>F7*H7</f>
        <v/>
      </c>
    </row>
    <row r="8">
      <c r="A8" s="6" t="n">
        <v>2029</v>
      </c>
      <c r="B8" s="7" t="n">
        <v>128989</v>
      </c>
      <c r="C8" s="7" t="n">
        <v>95839</v>
      </c>
      <c r="D8" s="7" t="n">
        <v>0</v>
      </c>
      <c r="E8" s="7" t="n">
        <v>116600</v>
      </c>
      <c r="F8" s="15" t="n">
        <v>12389</v>
      </c>
      <c r="G8" s="7" t="n">
        <v>2915000</v>
      </c>
      <c r="H8" s="16">
        <f>1/(1+Summary!$B$2)^(A8-2026)</f>
        <v/>
      </c>
      <c r="I8" s="15">
        <f>F8*H8</f>
        <v/>
      </c>
    </row>
    <row r="9">
      <c r="A9" s="6" t="n">
        <v>2030</v>
      </c>
      <c r="B9" s="7" t="n">
        <v>128989</v>
      </c>
      <c r="C9" s="7" t="n">
        <v>95839</v>
      </c>
      <c r="D9" s="7" t="n">
        <v>0</v>
      </c>
      <c r="E9" s="7" t="n">
        <v>116600</v>
      </c>
      <c r="F9" s="15" t="n">
        <v>12389</v>
      </c>
      <c r="G9" s="7" t="n">
        <v>2915000</v>
      </c>
      <c r="H9" s="16">
        <f>1/(1+Summary!$B$2)^(A9-2026)</f>
        <v/>
      </c>
      <c r="I9" s="15">
        <f>F9*H9</f>
        <v/>
      </c>
    </row>
    <row r="10">
      <c r="A10" s="6" t="n">
        <v>2031</v>
      </c>
      <c r="B10" s="7" t="n">
        <v>128989</v>
      </c>
      <c r="C10" s="7" t="n">
        <v>95839</v>
      </c>
      <c r="D10" s="7" t="n">
        <v>0</v>
      </c>
      <c r="E10" s="7" t="n">
        <v>116600</v>
      </c>
      <c r="F10" s="15" t="n">
        <v>12389</v>
      </c>
      <c r="G10" s="7" t="n">
        <v>2915000</v>
      </c>
      <c r="H10" s="16">
        <f>1/(1+Summary!$B$2)^(A10-2026)</f>
        <v/>
      </c>
      <c r="I10" s="15">
        <f>F10*H10</f>
        <v/>
      </c>
    </row>
    <row r="11">
      <c r="A11" s="6" t="n">
        <v>2032</v>
      </c>
      <c r="B11" s="7" t="n">
        <v>128989</v>
      </c>
      <c r="C11" s="7" t="n">
        <v>95839</v>
      </c>
      <c r="D11" s="7" t="n">
        <v>0</v>
      </c>
      <c r="E11" s="7" t="n">
        <v>116600</v>
      </c>
      <c r="F11" s="15" t="n">
        <v>12389</v>
      </c>
      <c r="G11" s="7" t="n">
        <v>2915000</v>
      </c>
      <c r="H11" s="16">
        <f>1/(1+Summary!$B$2)^(A11-2026)</f>
        <v/>
      </c>
      <c r="I11" s="15">
        <f>F11*H11</f>
        <v/>
      </c>
    </row>
    <row r="12">
      <c r="A12" s="6" t="n">
        <v>2033</v>
      </c>
      <c r="B12" s="7" t="n">
        <v>128989</v>
      </c>
      <c r="C12" s="7" t="n">
        <v>95839</v>
      </c>
      <c r="D12" s="7" t="n">
        <v>0</v>
      </c>
      <c r="E12" s="7" t="n">
        <v>116600</v>
      </c>
      <c r="F12" s="15" t="n">
        <v>12389</v>
      </c>
      <c r="G12" s="7" t="n">
        <v>2915000</v>
      </c>
      <c r="H12" s="16">
        <f>1/(1+Summary!$B$2)^(A12-2026)</f>
        <v/>
      </c>
      <c r="I12" s="15">
        <f>F12*H12</f>
        <v/>
      </c>
    </row>
    <row r="13">
      <c r="A13" s="6" t="n">
        <v>2034</v>
      </c>
      <c r="B13" s="7" t="n">
        <v>128989</v>
      </c>
      <c r="C13" s="7" t="n">
        <v>95839</v>
      </c>
      <c r="D13" s="7" t="n">
        <v>0</v>
      </c>
      <c r="E13" s="7" t="n">
        <v>116600</v>
      </c>
      <c r="F13" s="15" t="n">
        <v>12389</v>
      </c>
      <c r="G13" s="7" t="n">
        <v>2915000</v>
      </c>
      <c r="H13" s="16">
        <f>1/(1+Summary!$B$2)^(A13-2026)</f>
        <v/>
      </c>
      <c r="I13" s="15">
        <f>F13*H13</f>
        <v/>
      </c>
    </row>
    <row r="14">
      <c r="A14" s="6" t="n">
        <v>2035</v>
      </c>
      <c r="B14" s="7" t="n">
        <v>128989</v>
      </c>
      <c r="C14" s="7" t="n">
        <v>95839</v>
      </c>
      <c r="D14" s="7" t="n">
        <v>0</v>
      </c>
      <c r="E14" s="7" t="n">
        <v>116600</v>
      </c>
      <c r="F14" s="15" t="n">
        <v>12389</v>
      </c>
      <c r="G14" s="7" t="n">
        <v>2915000</v>
      </c>
      <c r="H14" s="16">
        <f>1/(1+Summary!$B$2)^(A14-2026)</f>
        <v/>
      </c>
      <c r="I14" s="15">
        <f>F14*H14</f>
        <v/>
      </c>
    </row>
    <row r="15">
      <c r="A15" s="6" t="n">
        <v>2036</v>
      </c>
      <c r="B15" s="7" t="n">
        <v>128989</v>
      </c>
      <c r="C15" s="7" t="n">
        <v>95839</v>
      </c>
      <c r="D15" s="7" t="n">
        <v>0</v>
      </c>
      <c r="E15" s="7" t="n">
        <v>116600</v>
      </c>
      <c r="F15" s="15" t="n">
        <v>12389</v>
      </c>
      <c r="G15" s="7" t="n">
        <v>2915000</v>
      </c>
      <c r="H15" s="16">
        <f>1/(1+Summary!$B$2)^(A15-2026)</f>
        <v/>
      </c>
      <c r="I15" s="15">
        <f>F15*H15</f>
        <v/>
      </c>
    </row>
    <row r="16">
      <c r="A16" s="6" t="n">
        <v>2037</v>
      </c>
      <c r="B16" s="7" t="n">
        <v>128989</v>
      </c>
      <c r="C16" s="7" t="n">
        <v>95839</v>
      </c>
      <c r="D16" s="7" t="n">
        <v>0</v>
      </c>
      <c r="E16" s="7" t="n">
        <v>116600</v>
      </c>
      <c r="F16" s="15" t="n">
        <v>12389</v>
      </c>
      <c r="G16" s="7" t="n">
        <v>2915000</v>
      </c>
      <c r="H16" s="16">
        <f>1/(1+Summary!$B$2)^(A16-2026)</f>
        <v/>
      </c>
      <c r="I16" s="15">
        <f>F16*H16</f>
        <v/>
      </c>
    </row>
    <row r="17">
      <c r="A17" s="6" t="n">
        <v>2038</v>
      </c>
      <c r="B17" s="7" t="n">
        <v>128989</v>
      </c>
      <c r="C17" s="7" t="n">
        <v>95839</v>
      </c>
      <c r="D17" s="7" t="n">
        <v>0</v>
      </c>
      <c r="E17" s="7" t="n">
        <v>116600</v>
      </c>
      <c r="F17" s="15" t="n">
        <v>12389</v>
      </c>
      <c r="G17" s="7" t="n">
        <v>2915000</v>
      </c>
      <c r="H17" s="16">
        <f>1/(1+Summary!$B$2)^(A17-2026)</f>
        <v/>
      </c>
      <c r="I17" s="15">
        <f>F17*H17</f>
        <v/>
      </c>
    </row>
    <row r="18">
      <c r="A18" s="6" t="n">
        <v>2039</v>
      </c>
      <c r="B18" s="7" t="n">
        <v>128989</v>
      </c>
      <c r="C18" s="7" t="n">
        <v>95839</v>
      </c>
      <c r="D18" s="7" t="n">
        <v>0</v>
      </c>
      <c r="E18" s="7" t="n">
        <v>116600</v>
      </c>
      <c r="F18" s="15" t="n">
        <v>12389</v>
      </c>
      <c r="G18" s="7" t="n">
        <v>2915000</v>
      </c>
      <c r="H18" s="16">
        <f>1/(1+Summary!$B$2)^(A18-2026)</f>
        <v/>
      </c>
      <c r="I18" s="15">
        <f>F18*H18</f>
        <v/>
      </c>
    </row>
    <row r="19">
      <c r="A19" s="6" t="n">
        <v>2040</v>
      </c>
      <c r="B19" s="7" t="n">
        <v>128989</v>
      </c>
      <c r="C19" s="7" t="n">
        <v>95839</v>
      </c>
      <c r="D19" s="7" t="n">
        <v>0</v>
      </c>
      <c r="E19" s="7" t="n">
        <v>116600</v>
      </c>
      <c r="F19" s="15" t="n">
        <v>12389</v>
      </c>
      <c r="G19" s="7" t="n">
        <v>2915000</v>
      </c>
      <c r="H19" s="16">
        <f>1/(1+Summary!$B$2)^(A19-2026)</f>
        <v/>
      </c>
      <c r="I19" s="15">
        <f>F19*H19</f>
        <v/>
      </c>
    </row>
    <row r="20">
      <c r="A20" s="6" t="n">
        <v>2041</v>
      </c>
      <c r="B20" s="7" t="n">
        <v>128989</v>
      </c>
      <c r="C20" s="7" t="n">
        <v>95839</v>
      </c>
      <c r="D20" s="7" t="n">
        <v>0</v>
      </c>
      <c r="E20" s="7" t="n">
        <v>116600</v>
      </c>
      <c r="F20" s="15" t="n">
        <v>12389</v>
      </c>
      <c r="G20" s="7" t="n">
        <v>2915000</v>
      </c>
      <c r="H20" s="16">
        <f>1/(1+Summary!$B$2)^(A20-2026)</f>
        <v/>
      </c>
      <c r="I20" s="15">
        <f>F20*H20</f>
        <v/>
      </c>
    </row>
    <row r="21">
      <c r="A21" s="6" t="n">
        <v>2042</v>
      </c>
      <c r="B21" s="7" t="n">
        <v>128989</v>
      </c>
      <c r="C21" s="7" t="n">
        <v>95839</v>
      </c>
      <c r="D21" s="7" t="n">
        <v>0</v>
      </c>
      <c r="E21" s="7" t="n">
        <v>116600</v>
      </c>
      <c r="F21" s="15" t="n">
        <v>12389</v>
      </c>
      <c r="G21" s="7" t="n">
        <v>2915000</v>
      </c>
      <c r="H21" s="16">
        <f>1/(1+Summary!$B$2)^(A21-2026)</f>
        <v/>
      </c>
      <c r="I21" s="15">
        <f>F21*H21</f>
        <v/>
      </c>
    </row>
    <row r="22">
      <c r="A22" s="6" t="n">
        <v>2043</v>
      </c>
      <c r="B22" s="7" t="n">
        <v>128989</v>
      </c>
      <c r="C22" s="7" t="n">
        <v>95839</v>
      </c>
      <c r="D22" s="7" t="n">
        <v>0</v>
      </c>
      <c r="E22" s="7" t="n">
        <v>116600</v>
      </c>
      <c r="F22" s="15" t="n">
        <v>12389</v>
      </c>
      <c r="G22" s="7" t="n">
        <v>2915000</v>
      </c>
      <c r="H22" s="16">
        <f>1/(1+Summary!$B$2)^(A22-2026)</f>
        <v/>
      </c>
      <c r="I22" s="15">
        <f>F22*H22</f>
        <v/>
      </c>
    </row>
    <row r="23">
      <c r="A23" s="6" t="n">
        <v>2044</v>
      </c>
      <c r="B23" s="7" t="n">
        <v>128989</v>
      </c>
      <c r="C23" s="7" t="n">
        <v>95839</v>
      </c>
      <c r="D23" s="7" t="n">
        <v>0</v>
      </c>
      <c r="E23" s="7" t="n">
        <v>116600</v>
      </c>
      <c r="F23" s="15" t="n">
        <v>12389</v>
      </c>
      <c r="G23" s="7" t="n">
        <v>2915000</v>
      </c>
      <c r="H23" s="16">
        <f>1/(1+Summary!$B$2)^(A23-2026)</f>
        <v/>
      </c>
      <c r="I23" s="15">
        <f>F23*H23</f>
        <v/>
      </c>
    </row>
    <row r="24">
      <c r="A24" s="6" t="n">
        <v>2045</v>
      </c>
      <c r="B24" s="7" t="n">
        <v>128989</v>
      </c>
      <c r="C24" s="7" t="n">
        <v>95839</v>
      </c>
      <c r="D24" s="7" t="n">
        <v>0</v>
      </c>
      <c r="E24" s="7" t="n">
        <v>116600</v>
      </c>
      <c r="F24" s="15" t="n">
        <v>12389</v>
      </c>
      <c r="G24" s="7" t="n">
        <v>2915000</v>
      </c>
      <c r="H24" s="16">
        <f>1/(1+Summary!$B$2)^(A24-2026)</f>
        <v/>
      </c>
      <c r="I24" s="15">
        <f>F24*H24</f>
        <v/>
      </c>
    </row>
    <row r="25">
      <c r="A25" s="6" t="n">
        <v>2046</v>
      </c>
      <c r="B25" s="7" t="n">
        <v>128989</v>
      </c>
      <c r="C25" s="7" t="n">
        <v>95839</v>
      </c>
      <c r="D25" s="7" t="n">
        <v>0</v>
      </c>
      <c r="E25" s="7" t="n">
        <v>116600</v>
      </c>
      <c r="F25" s="15" t="n">
        <v>12389</v>
      </c>
      <c r="G25" s="7" t="n">
        <v>2915000</v>
      </c>
      <c r="H25" s="16">
        <f>1/(1+Summary!$B$2)^(A25-2026)</f>
        <v/>
      </c>
      <c r="I25" s="15">
        <f>F25*H25</f>
        <v/>
      </c>
    </row>
    <row r="26">
      <c r="A26" s="6" t="n">
        <v>2047</v>
      </c>
      <c r="B26" s="7" t="n">
        <v>128989</v>
      </c>
      <c r="C26" s="7" t="n">
        <v>95839</v>
      </c>
      <c r="D26" s="7" t="n">
        <v>0</v>
      </c>
      <c r="E26" s="7" t="n">
        <v>116600</v>
      </c>
      <c r="F26" s="15" t="n">
        <v>12389</v>
      </c>
      <c r="G26" s="7" t="n">
        <v>2915000</v>
      </c>
      <c r="H26" s="16">
        <f>1/(1+Summary!$B$2)^(A26-2026)</f>
        <v/>
      </c>
      <c r="I26" s="15">
        <f>F26*H26</f>
        <v/>
      </c>
    </row>
    <row r="27">
      <c r="A27" s="6" t="n">
        <v>2048</v>
      </c>
      <c r="B27" s="7" t="n">
        <v>128989</v>
      </c>
      <c r="C27" s="7" t="n">
        <v>95839</v>
      </c>
      <c r="D27" s="7" t="n">
        <v>0</v>
      </c>
      <c r="E27" s="7" t="n">
        <v>116600</v>
      </c>
      <c r="F27" s="15" t="n">
        <v>12389</v>
      </c>
      <c r="G27" s="7" t="n">
        <v>2915000</v>
      </c>
      <c r="H27" s="16">
        <f>1/(1+Summary!$B$2)^(A27-2026)</f>
        <v/>
      </c>
      <c r="I27" s="15">
        <f>F27*H27</f>
        <v/>
      </c>
    </row>
    <row r="28">
      <c r="A28" s="6" t="n">
        <v>2049</v>
      </c>
      <c r="B28" s="7" t="n">
        <v>128989</v>
      </c>
      <c r="C28" s="7" t="n">
        <v>95839</v>
      </c>
      <c r="D28" s="7" t="n">
        <v>0</v>
      </c>
      <c r="E28" s="7" t="n">
        <v>116600</v>
      </c>
      <c r="F28" s="15" t="n">
        <v>12389</v>
      </c>
      <c r="G28" s="7" t="n">
        <v>2915000</v>
      </c>
      <c r="H28" s="16">
        <f>1/(1+Summary!$B$2)^(A28-2026)</f>
        <v/>
      </c>
      <c r="I28" s="15">
        <f>F28*H28</f>
        <v/>
      </c>
    </row>
    <row r="29">
      <c r="A29" s="6" t="n">
        <v>2050</v>
      </c>
      <c r="B29" s="7" t="n">
        <v>128989</v>
      </c>
      <c r="C29" s="7" t="n">
        <v>95839</v>
      </c>
      <c r="D29" s="7" t="n">
        <v>0</v>
      </c>
      <c r="E29" s="7" t="n">
        <v>116600</v>
      </c>
      <c r="F29" s="15" t="n">
        <v>12389</v>
      </c>
      <c r="G29" s="7" t="n">
        <v>2915000</v>
      </c>
      <c r="H29" s="16">
        <f>1/(1+Summary!$B$2)^(A29-2026)</f>
        <v/>
      </c>
      <c r="I29" s="15">
        <f>F29*H29</f>
        <v/>
      </c>
    </row>
    <row r="30">
      <c r="A30" s="6" t="n">
        <v>2051</v>
      </c>
      <c r="B30" s="7" t="n">
        <v>128989</v>
      </c>
      <c r="C30" s="7" t="n">
        <v>95839</v>
      </c>
      <c r="D30" s="7" t="n">
        <v>0</v>
      </c>
      <c r="E30" s="7" t="n">
        <v>116600</v>
      </c>
      <c r="F30" s="15" t="n">
        <v>12389</v>
      </c>
      <c r="G30" s="7" t="n">
        <v>2915000</v>
      </c>
      <c r="H30" s="16">
        <f>1/(1+Summary!$B$2)^(A30-2026)</f>
        <v/>
      </c>
      <c r="I30" s="15">
        <f>F30*H30</f>
        <v/>
      </c>
    </row>
    <row r="31">
      <c r="A31" s="6" t="n">
        <v>2052</v>
      </c>
      <c r="B31" s="7" t="n">
        <v>128989</v>
      </c>
      <c r="C31" s="7" t="n">
        <v>95839</v>
      </c>
      <c r="D31" s="7" t="n">
        <v>0</v>
      </c>
      <c r="E31" s="7" t="n">
        <v>116600</v>
      </c>
      <c r="F31" s="15" t="n">
        <v>12389</v>
      </c>
      <c r="G31" s="7" t="n">
        <v>2915000</v>
      </c>
      <c r="H31" s="16">
        <f>1/(1+Summary!$B$2)^(A31-2026)</f>
        <v/>
      </c>
      <c r="I31" s="15">
        <f>F31*H31</f>
        <v/>
      </c>
    </row>
    <row r="32">
      <c r="A32" s="6" t="n">
        <v>2053</v>
      </c>
      <c r="B32" s="7" t="n">
        <v>128989</v>
      </c>
      <c r="C32" s="7" t="n">
        <v>95839</v>
      </c>
      <c r="D32" s="7" t="n">
        <v>0</v>
      </c>
      <c r="E32" s="7" t="n">
        <v>116600</v>
      </c>
      <c r="F32" s="15" t="n">
        <v>12389</v>
      </c>
      <c r="G32" s="7" t="n">
        <v>2915000</v>
      </c>
      <c r="H32" s="16">
        <f>1/(1+Summary!$B$2)^(A32-2026)</f>
        <v/>
      </c>
      <c r="I32" s="15">
        <f>F32*H32</f>
        <v/>
      </c>
    </row>
    <row r="33">
      <c r="A33" s="6" t="n">
        <v>2054</v>
      </c>
      <c r="B33" s="7" t="n">
        <v>128989</v>
      </c>
      <c r="C33" s="7" t="n">
        <v>95839</v>
      </c>
      <c r="D33" s="7" t="n">
        <v>0</v>
      </c>
      <c r="E33" s="7" t="n">
        <v>116600</v>
      </c>
      <c r="F33" s="15" t="n">
        <v>12389</v>
      </c>
      <c r="G33" s="7" t="n">
        <v>2915000</v>
      </c>
      <c r="H33" s="16">
        <f>1/(1+Summary!$B$2)^(A33-2026)</f>
        <v/>
      </c>
      <c r="I33" s="15">
        <f>F33*H33</f>
        <v/>
      </c>
    </row>
    <row r="34">
      <c r="A34" s="6" t="n">
        <v>2055</v>
      </c>
      <c r="B34" s="7" t="n">
        <v>128989</v>
      </c>
      <c r="C34" s="7" t="n">
        <v>95839</v>
      </c>
      <c r="D34" s="7" t="n">
        <v>0</v>
      </c>
      <c r="E34" s="7" t="n">
        <v>116600</v>
      </c>
      <c r="F34" s="15" t="n">
        <v>12389</v>
      </c>
      <c r="G34" s="7" t="n">
        <v>2915000</v>
      </c>
      <c r="H34" s="16">
        <f>1/(1+Summary!$B$2)^(A34-2026)</f>
        <v/>
      </c>
      <c r="I34" s="15">
        <f>F34*H34</f>
        <v/>
      </c>
    </row>
    <row r="35">
      <c r="A35" s="6" t="n">
        <v>2056</v>
      </c>
      <c r="B35" s="7" t="n">
        <v>2979494</v>
      </c>
      <c r="C35" s="7" t="n">
        <v>2962919</v>
      </c>
      <c r="D35" s="7" t="n">
        <v>2915000</v>
      </c>
      <c r="E35" s="7" t="n">
        <v>58300</v>
      </c>
      <c r="F35" s="15" t="n">
        <v>6194</v>
      </c>
      <c r="G35" s="7" t="n">
        <v>0</v>
      </c>
      <c r="H35" s="16">
        <f>1/(1+Summary!$B$2)^(A35-2026)</f>
        <v/>
      </c>
      <c r="I35" s="15">
        <f>F35*H35</f>
        <v/>
      </c>
    </row>
    <row r="36">
      <c r="A36" s="17" t="inlineStr">
        <is>
          <t>Total</t>
        </is>
      </c>
      <c r="B36" s="18">
        <f>SUM(B5:B35)</f>
        <v/>
      </c>
      <c r="C36" s="18">
        <f>SUM(C5:C35)</f>
        <v/>
      </c>
      <c r="D36" s="18">
        <f>SUM(D5:D35)</f>
        <v/>
      </c>
      <c r="E36" s="18">
        <f>SUM(E5:E35)</f>
        <v/>
      </c>
      <c r="F36" s="18">
        <f>SUM(F5:F35)</f>
        <v/>
      </c>
      <c r="G36" s="19" t="n"/>
      <c r="H36" s="19" t="n"/>
      <c r="I36" s="18">
        <f>SUM(I5:I35)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2026-06-08T19:05:07Z</dcterms:created>
  <dcterms:modified xsi:type="dcterms:W3CDTF">2026-06-08T19:05:07Z</dcterms:modified>
</cp:coreProperties>
</file>